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d2a280668465d99d/Documents/Project Freelancing/Excel Data Analytics Content/2_Formulas_Functions/"/>
    </mc:Choice>
  </mc:AlternateContent>
  <xr:revisionPtr revIDLastSave="0" documentId="13_ncr:1_{222C37C2-F668-40C5-9BB8-F21547F09435}" xr6:coauthVersionLast="47" xr6:coauthVersionMax="47" xr10:uidLastSave="{00000000-0000-0000-0000-000000000000}"/>
  <bookViews>
    <workbookView xWindow="-108" yWindow="-108" windowWidth="23256" windowHeight="13176" activeTab="4" xr2:uid="{00000000-000D-0000-FFFF-FFFF00000000}"/>
  </bookViews>
  <sheets>
    <sheet name="Data" sheetId="8" r:id="rId1"/>
    <sheet name="Text_Combination" sheetId="9" r:id="rId2"/>
    <sheet name="Text_Extraction" sheetId="10" r:id="rId3"/>
    <sheet name="Text_Search" sheetId="11" r:id="rId4"/>
    <sheet name="Skills" sheetId="12" r:id="rId5"/>
  </sheets>
  <definedNames>
    <definedName name="_xlnm._FilterDatabase" localSheetId="4" hidden="1">Skills!$A$8:$B$25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8" l="1"/>
  <c r="B10" i="12"/>
  <c r="B11" i="12"/>
  <c r="B12" i="12"/>
  <c r="B13" i="12"/>
  <c r="B14" i="12"/>
  <c r="B15" i="12"/>
  <c r="B16" i="12"/>
  <c r="B17" i="12"/>
  <c r="B18" i="12"/>
  <c r="B19" i="12"/>
  <c r="B20" i="12"/>
  <c r="B21" i="12"/>
  <c r="B22" i="12"/>
  <c r="B23" i="12"/>
  <c r="B24" i="12"/>
  <c r="B25" i="12"/>
  <c r="B9" i="12"/>
  <c r="A9" i="12" a="1"/>
  <c r="A9" i="12" s="1"/>
  <c r="A6" i="12" a="1"/>
  <c r="A6" i="12" s="1"/>
  <c r="A3" i="12"/>
  <c r="T3" i="8"/>
  <c r="U3" i="8"/>
  <c r="V3" i="8"/>
  <c r="T4" i="8"/>
  <c r="U4" i="8"/>
  <c r="V4" i="8" s="1"/>
  <c r="T5" i="8"/>
  <c r="U5" i="8" s="1"/>
  <c r="T6" i="8"/>
  <c r="U6" i="8"/>
  <c r="V6" i="8" s="1"/>
  <c r="T7" i="8"/>
  <c r="U7" i="8"/>
  <c r="V7" i="8"/>
  <c r="T8" i="8"/>
  <c r="U8" i="8"/>
  <c r="V8" i="8"/>
  <c r="T9" i="8"/>
  <c r="U9" i="8"/>
  <c r="V9" i="8"/>
  <c r="T10" i="8"/>
  <c r="U10" i="8"/>
  <c r="V10" i="8"/>
  <c r="T11" i="8"/>
  <c r="U11" i="8"/>
  <c r="V11" i="8"/>
  <c r="T12" i="8"/>
  <c r="U12" i="8"/>
  <c r="V12" i="8"/>
  <c r="T13" i="8"/>
  <c r="U13" i="8"/>
  <c r="V13" i="8"/>
  <c r="T14" i="8"/>
  <c r="U14" i="8"/>
  <c r="V14" i="8"/>
  <c r="T15" i="8"/>
  <c r="U15" i="8"/>
  <c r="V15" i="8"/>
  <c r="T16" i="8"/>
  <c r="U16" i="8"/>
  <c r="V16" i="8"/>
  <c r="T17" i="8"/>
  <c r="U17" i="8"/>
  <c r="V17" i="8"/>
  <c r="T18" i="8"/>
  <c r="U18" i="8"/>
  <c r="V18" i="8"/>
  <c r="T19" i="8"/>
  <c r="U19" i="8"/>
  <c r="V19" i="8"/>
  <c r="T20" i="8"/>
  <c r="U20" i="8"/>
  <c r="V20" i="8"/>
  <c r="T21" i="8"/>
  <c r="U21" i="8"/>
  <c r="V21" i="8"/>
  <c r="V2" i="8"/>
  <c r="T2" i="8"/>
  <c r="O3" i="8"/>
  <c r="O4" i="8"/>
  <c r="O5" i="8"/>
  <c r="O6" i="8"/>
  <c r="O7" i="8"/>
  <c r="O8" i="8"/>
  <c r="O9" i="8"/>
  <c r="O10" i="8"/>
  <c r="O11" i="8"/>
  <c r="O12" i="8"/>
  <c r="O13" i="8"/>
  <c r="O14" i="8"/>
  <c r="O15" i="8"/>
  <c r="O16" i="8"/>
  <c r="O17" i="8"/>
  <c r="O18" i="8"/>
  <c r="O19" i="8"/>
  <c r="O20" i="8"/>
  <c r="O21" i="8"/>
  <c r="O2" i="8"/>
  <c r="L3" i="8"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J3" i="8"/>
  <c r="J4" i="8"/>
  <c r="J5" i="8"/>
  <c r="J6" i="8"/>
  <c r="J7" i="8"/>
  <c r="J8" i="8"/>
  <c r="J9" i="8"/>
  <c r="J10" i="8"/>
  <c r="J11" i="8"/>
  <c r="J12" i="8"/>
  <c r="J13" i="8"/>
  <c r="J14" i="8"/>
  <c r="J15" i="8"/>
  <c r="J16" i="8"/>
  <c r="J17" i="8"/>
  <c r="J18" i="8"/>
  <c r="J19" i="8"/>
  <c r="J20" i="8"/>
  <c r="J21"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V5" i="8" l="1"/>
  <c r="U2" i="8"/>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<sst xmlns="http://schemas.openxmlformats.org/spreadsheetml/2006/main" count="609" uniqueCount="95">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</sst>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0">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0" fillId="3" borderId="0" xfId="0" applyFill="1"/>
    <xf numFmtId="0" fontId="0" fillId="3" borderId="1" xfId="0" applyFill="1" applyBorder="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a:t>
            </a:r>
            <a:r>
              <a:rPr lang="en-US" baseline="0"/>
              <a:t> Count of Applicant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1631-4E6B-AEE8-AA184308ADE3}"/>
            </c:ext>
          </c:extLst>
        </c:ser>
        <c:dLbls>
          <c:showLegendKey val="0"/>
          <c:showVal val="0"/>
          <c:showCatName val="0"/>
          <c:showSerName val="0"/>
          <c:showPercent val="0"/>
          <c:showBubbleSize val="0"/>
        </c:dLbls>
        <c:gapWidth val="182"/>
        <c:axId val="1159429199"/>
        <c:axId val="1159428719"/>
      </c:barChart>
      <c:catAx>
        <c:axId val="1159429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428719"/>
        <c:crosses val="autoZero"/>
        <c:auto val="1"/>
        <c:lblAlgn val="ctr"/>
        <c:lblOffset val="100"/>
        <c:noMultiLvlLbl val="0"/>
      </c:catAx>
      <c:valAx>
        <c:axId val="1159428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4291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601980</xdr:colOff>
      <xdr:row>6</xdr:row>
      <xdr:rowOff>175260</xdr:rowOff>
    </xdr:from>
    <xdr:to>
      <xdr:col>16</xdr:col>
      <xdr:colOff>15240</xdr:colOff>
      <xdr:row>25</xdr:row>
      <xdr:rowOff>167640</xdr:rowOff>
    </xdr:to>
    <xdr:graphicFrame macro="">
      <xdr:nvGraphicFramePr>
        <xdr:cNvPr id="2" name="Chart 1">
          <a:extLst>
            <a:ext uri="{FF2B5EF4-FFF2-40B4-BE49-F238E27FC236}">
              <a16:creationId xmlns:a16="http://schemas.microsoft.com/office/drawing/2014/main" id="{767C2F58-D715-9EE1-4535-862A8B309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opLeftCell="H1" zoomScaleNormal="100" workbookViewId="0">
      <selection activeCell="J2" sqref="J2"/>
    </sheetView>
  </sheetViews>
  <sheetFormatPr defaultRowHeight="14.4" x14ac:dyDescent="0.3"/>
  <cols>
    <col min="1" max="1" width="17.5546875" customWidth="1"/>
    <col min="2" max="2" width="14.21875" customWidth="1"/>
    <col min="3" max="3" width="27.21875" customWidth="1"/>
    <col min="4" max="4" width="17.5546875" style="9" customWidth="1"/>
    <col min="5" max="5" width="26.21875" customWidth="1"/>
    <col min="6" max="6" width="11" customWidth="1"/>
    <col min="7" max="7" width="22" customWidth="1"/>
    <col min="8" max="8" width="40" customWidth="1"/>
    <col min="9" max="9" width="8.88671875" customWidth="1"/>
    <col min="10" max="10" width="34.77734375" customWidth="1"/>
    <col min="11" max="11" width="8.88671875" customWidth="1"/>
    <col min="12" max="12" width="13.33203125" customWidth="1"/>
    <col min="13" max="13" width="15.44140625" customWidth="1"/>
    <col min="14" max="14" width="8.88671875" customWidth="1"/>
    <col min="15" max="15" width="17.77734375" bestFit="1" customWidth="1"/>
    <col min="17" max="19" width="0" hidden="1" customWidth="1"/>
  </cols>
  <sheetData>
    <row r="1" spans="1:22" x14ac:dyDescent="0.3">
      <c r="A1" s="2" t="s">
        <v>69</v>
      </c>
      <c r="B1" s="3" t="s">
        <v>2</v>
      </c>
      <c r="C1" s="3" t="s">
        <v>3</v>
      </c>
      <c r="D1" s="10" t="s">
        <v>92</v>
      </c>
      <c r="E1" s="3" t="s">
        <v>0</v>
      </c>
      <c r="F1" s="3" t="s">
        <v>21</v>
      </c>
      <c r="G1" s="3" t="s">
        <v>22</v>
      </c>
      <c r="H1" s="4" t="s">
        <v>4</v>
      </c>
      <c r="J1" s="14" t="s">
        <v>62</v>
      </c>
      <c r="L1" s="14" t="s">
        <v>65</v>
      </c>
      <c r="M1" s="14" t="s">
        <v>66</v>
      </c>
      <c r="O1" s="14" t="s">
        <v>91</v>
      </c>
      <c r="Q1" s="19" t="s">
        <v>64</v>
      </c>
      <c r="R1" s="19"/>
      <c r="S1" s="19"/>
      <c r="T1" s="19" t="s">
        <v>64</v>
      </c>
      <c r="U1" s="19"/>
      <c r="V1" s="19"/>
    </row>
    <row r="2" spans="1:22" x14ac:dyDescent="0.3">
      <c r="A2" s="5" t="s">
        <v>72</v>
      </c>
      <c r="B2" s="1" t="s">
        <v>42</v>
      </c>
      <c r="C2" s="1" t="s">
        <v>1</v>
      </c>
      <c r="D2" s="11">
        <v>44971.640451388892</v>
      </c>
      <c r="E2" s="1" t="s">
        <v>43</v>
      </c>
      <c r="F2" s="1" t="s">
        <v>23</v>
      </c>
      <c r="G2" s="1" t="s">
        <v>24</v>
      </c>
      <c r="H2" s="6" t="s">
        <v>11</v>
      </c>
      <c r="J2" s="17" t="str">
        <f>_xlfn.TEXTJOIN(" ",TRUE,F2:G2)</f>
        <v>457 Oak St San Jose, CA, 95101</v>
      </c>
      <c r="L2" s="17" t="str" cm="1">
        <f t="array" ref="L2:M2">_xlfn.TEXTSPLIT(B2," ")</f>
        <v>Pam</v>
      </c>
      <c r="M2" s="17" t="str">
        <v>Beesly</v>
      </c>
      <c r="O2" s="17" t="str">
        <f>RIGHT(A2,7)</f>
        <v>0123548</v>
      </c>
      <c r="Q2">
        <f>FIND(",", G2)+LEN(", ")</f>
        <v>11</v>
      </c>
      <c r="R2">
        <f>FIND(",",G2,Q2)</f>
        <v>13</v>
      </c>
      <c r="S2" t="str">
        <f>MID(G2,Q2,R2-Q2)</f>
        <v>CA</v>
      </c>
      <c r="T2" s="17">
        <f>FIND(",",G2)+LEN(", ")</f>
        <v>11</v>
      </c>
      <c r="U2" s="17">
        <f>FIND(",",G2,T2)</f>
        <v>13</v>
      </c>
      <c r="V2" s="17" t="str">
        <f>MID(G2,T2,U2-T2)</f>
        <v>CA</v>
      </c>
    </row>
    <row r="3" spans="1:22" x14ac:dyDescent="0.3">
      <c r="A3" s="5" t="s">
        <v>71</v>
      </c>
      <c r="B3" s="1" t="s">
        <v>38</v>
      </c>
      <c r="C3" s="1" t="s">
        <v>5</v>
      </c>
      <c r="D3" s="11">
        <v>45055.40662037037</v>
      </c>
      <c r="E3" s="1" t="s">
        <v>39</v>
      </c>
      <c r="F3" s="1" t="s">
        <v>25</v>
      </c>
      <c r="G3" s="1" t="s">
        <v>26</v>
      </c>
      <c r="H3" s="6" t="s">
        <v>14</v>
      </c>
      <c r="J3" s="17" t="str">
        <f t="shared" ref="J3:J21" si="0">_xlfn.TEXTJOIN(" ",TRUE,F3:G3)</f>
        <v>203 Birch St Chicago, IL, 60601</v>
      </c>
      <c r="L3" s="17" t="str" cm="1">
        <f t="array" ref="L3:M3">_xlfn.TEXTSPLIT(B3," ")</f>
        <v>Michael</v>
      </c>
      <c r="M3" s="17" t="str">
        <v>Scott</v>
      </c>
      <c r="O3" s="17" t="str">
        <f t="shared" ref="O3:O21" si="1">RIGHT(A3,7)</f>
        <v>0123549</v>
      </c>
      <c r="Q3">
        <f t="shared" ref="Q3:Q21" si="2">FIND(",", G3)+LEN(", ")</f>
        <v>10</v>
      </c>
      <c r="R3">
        <f t="shared" ref="R3:R21" si="3">FIND(",",G3,Q3)</f>
        <v>12</v>
      </c>
      <c r="S3" t="str">
        <f t="shared" ref="S3:S21" si="4">MID(G3,Q3,R3-Q3)</f>
        <v>IL</v>
      </c>
      <c r="T3" s="17">
        <f t="shared" ref="T3:T21" si="5">FIND(",",G3)+LEN(", ")</f>
        <v>10</v>
      </c>
      <c r="U3" s="17">
        <f t="shared" ref="U3:U21" si="6">FIND(",",G3,T3)</f>
        <v>12</v>
      </c>
      <c r="V3" s="17" t="str">
        <f t="shared" ref="V3:V21" si="7">MID(G3,T3,U3-T3)</f>
        <v>IL</v>
      </c>
    </row>
    <row r="4" spans="1:22" x14ac:dyDescent="0.3">
      <c r="A4" s="5" t="s">
        <v>73</v>
      </c>
      <c r="B4" s="1" t="s">
        <v>58</v>
      </c>
      <c r="C4" s="1" t="s">
        <v>12</v>
      </c>
      <c r="D4" s="11">
        <v>45128.729710648149</v>
      </c>
      <c r="E4" s="1" t="s">
        <v>59</v>
      </c>
      <c r="F4" s="1" t="s">
        <v>27</v>
      </c>
      <c r="G4" s="1" t="s">
        <v>26</v>
      </c>
      <c r="H4" s="6" t="s">
        <v>6</v>
      </c>
      <c r="J4" s="17" t="str">
        <f t="shared" si="0"/>
        <v>790 Pine St Chicago, IL, 60601</v>
      </c>
      <c r="L4" s="17" t="str" cm="1">
        <f t="array" ref="L4:M4">_xlfn.TEXTSPLIT(B4," ")</f>
        <v>Kevin</v>
      </c>
      <c r="M4" s="17" t="str">
        <v>Malone</v>
      </c>
      <c r="O4" s="17" t="str">
        <f t="shared" si="1"/>
        <v>0123550</v>
      </c>
      <c r="Q4">
        <f t="shared" si="2"/>
        <v>10</v>
      </c>
      <c r="R4">
        <f t="shared" si="3"/>
        <v>12</v>
      </c>
      <c r="S4" t="str">
        <f t="shared" si="4"/>
        <v>IL</v>
      </c>
      <c r="T4" s="17">
        <f t="shared" si="5"/>
        <v>10</v>
      </c>
      <c r="U4" s="17">
        <f t="shared" si="6"/>
        <v>12</v>
      </c>
      <c r="V4" s="17" t="str">
        <f t="shared" si="7"/>
        <v>IL</v>
      </c>
    </row>
    <row r="5" spans="1:22" x14ac:dyDescent="0.3">
      <c r="A5" s="5" t="s">
        <v>74</v>
      </c>
      <c r="B5" s="1" t="s">
        <v>42</v>
      </c>
      <c r="C5" s="1" t="s">
        <v>5</v>
      </c>
      <c r="D5" s="11">
        <v>45173.302187499998</v>
      </c>
      <c r="E5" s="1" t="s">
        <v>43</v>
      </c>
      <c r="F5" s="1" t="s">
        <v>23</v>
      </c>
      <c r="G5" s="1" t="s">
        <v>24</v>
      </c>
      <c r="H5" s="6" t="s">
        <v>11</v>
      </c>
      <c r="J5" s="17" t="str">
        <f t="shared" si="0"/>
        <v>457 Oak St San Jose, CA, 95101</v>
      </c>
      <c r="L5" s="17" t="str" cm="1">
        <f t="array" ref="L5:M5">_xlfn.TEXTSPLIT(B5," ")</f>
        <v>Pam</v>
      </c>
      <c r="M5" s="17" t="str">
        <v>Beesly</v>
      </c>
      <c r="O5" s="17" t="str">
        <f t="shared" si="1"/>
        <v>0123551</v>
      </c>
      <c r="Q5">
        <f t="shared" si="2"/>
        <v>11</v>
      </c>
      <c r="R5">
        <f t="shared" si="3"/>
        <v>13</v>
      </c>
      <c r="S5" t="str">
        <f t="shared" si="4"/>
        <v>CA</v>
      </c>
      <c r="T5" s="17">
        <f t="shared" si="5"/>
        <v>11</v>
      </c>
      <c r="U5" s="17">
        <f t="shared" si="6"/>
        <v>13</v>
      </c>
      <c r="V5" s="17" t="str">
        <f t="shared" si="7"/>
        <v>CA</v>
      </c>
    </row>
    <row r="6" spans="1:22" x14ac:dyDescent="0.3">
      <c r="A6" s="5" t="s">
        <v>75</v>
      </c>
      <c r="B6" s="1" t="s">
        <v>40</v>
      </c>
      <c r="C6" s="1" t="s">
        <v>7</v>
      </c>
      <c r="D6" s="11">
        <v>45248.70857638889</v>
      </c>
      <c r="E6" s="1" t="s">
        <v>41</v>
      </c>
      <c r="F6" s="1" t="s">
        <v>29</v>
      </c>
      <c r="G6" s="1" t="s">
        <v>30</v>
      </c>
      <c r="H6" s="6" t="s">
        <v>10</v>
      </c>
      <c r="J6" s="17" t="str">
        <f t="shared" si="0"/>
        <v>459 Oak St Philadelphia, PA, 19101</v>
      </c>
      <c r="L6" s="17" t="str" cm="1">
        <f t="array" ref="L6:M6">_xlfn.TEXTSPLIT(B6," ")</f>
        <v>Jim</v>
      </c>
      <c r="M6" s="17" t="str">
        <v>Halpert</v>
      </c>
      <c r="O6" s="17" t="str">
        <f t="shared" si="1"/>
        <v>0123552</v>
      </c>
      <c r="Q6">
        <f t="shared" si="2"/>
        <v>15</v>
      </c>
      <c r="R6">
        <f t="shared" si="3"/>
        <v>17</v>
      </c>
      <c r="S6" t="str">
        <f t="shared" si="4"/>
        <v>PA</v>
      </c>
      <c r="T6" s="17">
        <f t="shared" si="5"/>
        <v>15</v>
      </c>
      <c r="U6" s="17">
        <f t="shared" si="6"/>
        <v>17</v>
      </c>
      <c r="V6" s="17" t="str">
        <f t="shared" si="7"/>
        <v>PA</v>
      </c>
    </row>
    <row r="7" spans="1:22" x14ac:dyDescent="0.3">
      <c r="A7" s="5" t="s">
        <v>76</v>
      </c>
      <c r="B7" s="1" t="s">
        <v>46</v>
      </c>
      <c r="C7" s="1" t="s">
        <v>9</v>
      </c>
      <c r="D7" s="11">
        <v>45302.531921296293</v>
      </c>
      <c r="E7" s="1" t="s">
        <v>47</v>
      </c>
      <c r="F7" s="1" t="s">
        <v>31</v>
      </c>
      <c r="G7" s="1" t="s">
        <v>30</v>
      </c>
      <c r="H7" s="6" t="s">
        <v>15</v>
      </c>
      <c r="J7" s="17" t="str">
        <f t="shared" si="0"/>
        <v>204 Birch St Philadelphia, PA, 19101</v>
      </c>
      <c r="L7" s="17" t="str" cm="1">
        <f t="array" ref="L7:M7">_xlfn.TEXTSPLIT(B7," ")</f>
        <v>Ryan</v>
      </c>
      <c r="M7" s="17" t="str">
        <v>Howard</v>
      </c>
      <c r="O7" s="17" t="str">
        <f t="shared" si="1"/>
        <v>0123553</v>
      </c>
      <c r="Q7">
        <f t="shared" si="2"/>
        <v>15</v>
      </c>
      <c r="R7">
        <f t="shared" si="3"/>
        <v>17</v>
      </c>
      <c r="S7" t="str">
        <f t="shared" si="4"/>
        <v>PA</v>
      </c>
      <c r="T7" s="17">
        <f t="shared" si="5"/>
        <v>15</v>
      </c>
      <c r="U7" s="17">
        <f t="shared" si="6"/>
        <v>17</v>
      </c>
      <c r="V7" s="17" t="str">
        <f t="shared" si="7"/>
        <v>PA</v>
      </c>
    </row>
    <row r="8" spans="1:22" x14ac:dyDescent="0.3">
      <c r="A8" s="5" t="s">
        <v>77</v>
      </c>
      <c r="B8" s="1" t="s">
        <v>58</v>
      </c>
      <c r="C8" s="1" t="s">
        <v>5</v>
      </c>
      <c r="D8" s="11">
        <v>45354.687881944446</v>
      </c>
      <c r="E8" s="1" t="s">
        <v>59</v>
      </c>
      <c r="F8" s="1" t="s">
        <v>27</v>
      </c>
      <c r="G8" s="1" t="s">
        <v>26</v>
      </c>
      <c r="H8" s="6" t="s">
        <v>6</v>
      </c>
      <c r="J8" s="17" t="str">
        <f t="shared" si="0"/>
        <v>790 Pine St Chicago, IL, 60601</v>
      </c>
      <c r="L8" s="17" t="str" cm="1">
        <f t="array" ref="L8:M8">_xlfn.TEXTSPLIT(B8," ")</f>
        <v>Kevin</v>
      </c>
      <c r="M8" s="17" t="str">
        <v>Malone</v>
      </c>
      <c r="O8" s="17" t="str">
        <f t="shared" si="1"/>
        <v>0123554</v>
      </c>
      <c r="Q8">
        <f t="shared" si="2"/>
        <v>10</v>
      </c>
      <c r="R8">
        <f t="shared" si="3"/>
        <v>12</v>
      </c>
      <c r="S8" t="str">
        <f t="shared" si="4"/>
        <v>IL</v>
      </c>
      <c r="T8" s="17">
        <f t="shared" si="5"/>
        <v>10</v>
      </c>
      <c r="U8" s="17">
        <f t="shared" si="6"/>
        <v>12</v>
      </c>
      <c r="V8" s="17" t="str">
        <f t="shared" si="7"/>
        <v>IL</v>
      </c>
    </row>
    <row r="9" spans="1:22" x14ac:dyDescent="0.3">
      <c r="A9" s="5" t="s">
        <v>78</v>
      </c>
      <c r="B9" s="1" t="s">
        <v>46</v>
      </c>
      <c r="C9" s="1" t="s">
        <v>1</v>
      </c>
      <c r="D9" s="11">
        <v>45408.340810185182</v>
      </c>
      <c r="E9" s="1" t="s">
        <v>47</v>
      </c>
      <c r="F9" s="1" t="s">
        <v>31</v>
      </c>
      <c r="G9" s="1" t="s">
        <v>30</v>
      </c>
      <c r="H9" s="6" t="s">
        <v>15</v>
      </c>
      <c r="J9" s="17" t="str">
        <f t="shared" si="0"/>
        <v>204 Birch St Philadelphia, PA, 19101</v>
      </c>
      <c r="L9" s="17" t="str" cm="1">
        <f t="array" ref="L9:M9">_xlfn.TEXTSPLIT(B9," ")</f>
        <v>Ryan</v>
      </c>
      <c r="M9" s="17" t="str">
        <v>Howard</v>
      </c>
      <c r="O9" s="17" t="str">
        <f t="shared" si="1"/>
        <v>0123555</v>
      </c>
      <c r="Q9">
        <f t="shared" si="2"/>
        <v>15</v>
      </c>
      <c r="R9">
        <f t="shared" si="3"/>
        <v>17</v>
      </c>
      <c r="S9" t="str">
        <f t="shared" si="4"/>
        <v>PA</v>
      </c>
      <c r="T9" s="17">
        <f t="shared" si="5"/>
        <v>15</v>
      </c>
      <c r="U9" s="17">
        <f t="shared" si="6"/>
        <v>17</v>
      </c>
      <c r="V9" s="17" t="str">
        <f t="shared" si="7"/>
        <v>PA</v>
      </c>
    </row>
    <row r="10" spans="1:22" x14ac:dyDescent="0.3">
      <c r="A10" s="5" t="s">
        <v>79</v>
      </c>
      <c r="B10" s="1" t="s">
        <v>50</v>
      </c>
      <c r="C10" s="1" t="s">
        <v>7</v>
      </c>
      <c r="D10" s="11">
        <v>45458.743333333332</v>
      </c>
      <c r="E10" s="1" t="s">
        <v>51</v>
      </c>
      <c r="F10" s="1" t="s">
        <v>33</v>
      </c>
      <c r="G10" s="1" t="s">
        <v>26</v>
      </c>
      <c r="H10" s="6" t="s">
        <v>18</v>
      </c>
      <c r="J10" s="17" t="str">
        <f t="shared" si="0"/>
        <v>123 Elm St Chicago, IL, 60601</v>
      </c>
      <c r="L10" s="17" t="str" cm="1">
        <f t="array" ref="L10:M10">_xlfn.TEXTSPLIT(B10," ")</f>
        <v>Stanley</v>
      </c>
      <c r="M10" s="17" t="str">
        <v>Hudson</v>
      </c>
      <c r="O10" s="17" t="str">
        <f t="shared" si="1"/>
        <v>0123556</v>
      </c>
      <c r="Q10">
        <f t="shared" si="2"/>
        <v>10</v>
      </c>
      <c r="R10">
        <f t="shared" si="3"/>
        <v>12</v>
      </c>
      <c r="S10" t="str">
        <f t="shared" si="4"/>
        <v>IL</v>
      </c>
      <c r="T10" s="17">
        <f t="shared" si="5"/>
        <v>10</v>
      </c>
      <c r="U10" s="17">
        <f t="shared" si="6"/>
        <v>12</v>
      </c>
      <c r="V10" s="17" t="str">
        <f t="shared" si="7"/>
        <v>IL</v>
      </c>
    </row>
    <row r="11" spans="1:22" x14ac:dyDescent="0.3">
      <c r="A11" s="5" t="s">
        <v>80</v>
      </c>
      <c r="B11" s="1" t="s">
        <v>54</v>
      </c>
      <c r="C11" s="1" t="s">
        <v>12</v>
      </c>
      <c r="D11" s="11">
        <v>45480.608055555553</v>
      </c>
      <c r="E11" s="1" t="s">
        <v>55</v>
      </c>
      <c r="F11" s="1" t="s">
        <v>33</v>
      </c>
      <c r="G11" s="1" t="s">
        <v>32</v>
      </c>
      <c r="H11" s="6" t="s">
        <v>13</v>
      </c>
      <c r="J11" s="17" t="str">
        <f t="shared" si="0"/>
        <v>123 Elm St Los Angeles, CA, 90001</v>
      </c>
      <c r="L11" s="17" t="str" cm="1">
        <f t="array" ref="L11:M11">_xlfn.TEXTSPLIT(B11," ")</f>
        <v>Angela</v>
      </c>
      <c r="M11" s="17" t="str">
        <v>Martin</v>
      </c>
      <c r="O11" s="17" t="str">
        <f t="shared" si="1"/>
        <v>0123557</v>
      </c>
      <c r="Q11">
        <f t="shared" si="2"/>
        <v>14</v>
      </c>
      <c r="R11">
        <f t="shared" si="3"/>
        <v>16</v>
      </c>
      <c r="S11" t="str">
        <f t="shared" si="4"/>
        <v>CA</v>
      </c>
      <c r="T11" s="17">
        <f t="shared" si="5"/>
        <v>14</v>
      </c>
      <c r="U11" s="17">
        <f t="shared" si="6"/>
        <v>16</v>
      </c>
      <c r="V11" s="17" t="str">
        <f t="shared" si="7"/>
        <v>CA</v>
      </c>
    </row>
    <row r="12" spans="1:22" x14ac:dyDescent="0.3">
      <c r="A12" s="5" t="s">
        <v>81</v>
      </c>
      <c r="B12" s="1" t="s">
        <v>44</v>
      </c>
      <c r="C12" s="1" t="s">
        <v>7</v>
      </c>
      <c r="D12" s="11">
        <v>45455.284930555557</v>
      </c>
      <c r="E12" s="1" t="s">
        <v>45</v>
      </c>
      <c r="F12" s="1" t="s">
        <v>33</v>
      </c>
      <c r="G12" s="1" t="s">
        <v>34</v>
      </c>
      <c r="H12" s="6" t="s">
        <v>17</v>
      </c>
      <c r="J12" s="17" t="str">
        <f t="shared" si="0"/>
        <v>123 Elm St San Diego, CA, 92101</v>
      </c>
      <c r="L12" s="17" t="str" cm="1">
        <f t="array" ref="L12:M12">_xlfn.TEXTSPLIT(B12," ")</f>
        <v>Dwight</v>
      </c>
      <c r="M12" s="17" t="str">
        <v>Schrute</v>
      </c>
      <c r="O12" s="17" t="str">
        <f t="shared" si="1"/>
        <v>0123558</v>
      </c>
      <c r="Q12">
        <f t="shared" si="2"/>
        <v>12</v>
      </c>
      <c r="R12">
        <f t="shared" si="3"/>
        <v>14</v>
      </c>
      <c r="S12" t="str">
        <f t="shared" si="4"/>
        <v>CA</v>
      </c>
      <c r="T12" s="17">
        <f t="shared" si="5"/>
        <v>12</v>
      </c>
      <c r="U12" s="17">
        <f t="shared" si="6"/>
        <v>14</v>
      </c>
      <c r="V12" s="17" t="str">
        <f t="shared" si="7"/>
        <v>CA</v>
      </c>
    </row>
    <row r="13" spans="1:22" x14ac:dyDescent="0.3">
      <c r="A13" s="5" t="s">
        <v>82</v>
      </c>
      <c r="B13" s="1" t="s">
        <v>56</v>
      </c>
      <c r="C13" s="1" t="s">
        <v>9</v>
      </c>
      <c r="D13" s="11">
        <v>44951.552141203705</v>
      </c>
      <c r="E13" s="1" t="s">
        <v>57</v>
      </c>
      <c r="F13" s="1" t="s">
        <v>35</v>
      </c>
      <c r="G13" s="1" t="s">
        <v>26</v>
      </c>
      <c r="H13" s="6" t="s">
        <v>16</v>
      </c>
      <c r="J13" s="17" t="str">
        <f t="shared" si="0"/>
        <v>202 Birch St Chicago, IL, 60601</v>
      </c>
      <c r="L13" s="17" t="str" cm="1">
        <f t="array" ref="L13:M13">_xlfn.TEXTSPLIT(B13," ")</f>
        <v>Oscar</v>
      </c>
      <c r="M13" s="17" t="str">
        <v>Martinez</v>
      </c>
      <c r="O13" s="17" t="str">
        <f t="shared" si="1"/>
        <v>0123559</v>
      </c>
      <c r="Q13">
        <f t="shared" si="2"/>
        <v>10</v>
      </c>
      <c r="R13">
        <f t="shared" si="3"/>
        <v>12</v>
      </c>
      <c r="S13" t="str">
        <f t="shared" si="4"/>
        <v>IL</v>
      </c>
      <c r="T13" s="17">
        <f t="shared" si="5"/>
        <v>10</v>
      </c>
      <c r="U13" s="17">
        <f t="shared" si="6"/>
        <v>12</v>
      </c>
      <c r="V13" s="17" t="str">
        <f t="shared" si="7"/>
        <v>IL</v>
      </c>
    </row>
    <row r="14" spans="1:22" x14ac:dyDescent="0.3">
      <c r="A14" s="5" t="s">
        <v>83</v>
      </c>
      <c r="B14" s="1" t="s">
        <v>46</v>
      </c>
      <c r="C14" s="1" t="s">
        <v>12</v>
      </c>
      <c r="D14" s="11">
        <v>45002.490034722221</v>
      </c>
      <c r="E14" s="1" t="s">
        <v>47</v>
      </c>
      <c r="F14" s="1" t="s">
        <v>31</v>
      </c>
      <c r="G14" s="1" t="s">
        <v>30</v>
      </c>
      <c r="H14" s="6" t="s">
        <v>15</v>
      </c>
      <c r="J14" s="17" t="str">
        <f t="shared" si="0"/>
        <v>204 Birch St Philadelphia, PA, 19101</v>
      </c>
      <c r="L14" s="17" t="str" cm="1">
        <f t="array" ref="L14:M14">_xlfn.TEXTSPLIT(B14," ")</f>
        <v>Ryan</v>
      </c>
      <c r="M14" s="17" t="str">
        <v>Howard</v>
      </c>
      <c r="O14" s="17" t="str">
        <f t="shared" si="1"/>
        <v>0123560</v>
      </c>
      <c r="Q14">
        <f t="shared" si="2"/>
        <v>15</v>
      </c>
      <c r="R14">
        <f t="shared" si="3"/>
        <v>17</v>
      </c>
      <c r="S14" t="str">
        <f t="shared" si="4"/>
        <v>PA</v>
      </c>
      <c r="T14" s="17">
        <f t="shared" si="5"/>
        <v>15</v>
      </c>
      <c r="U14" s="17">
        <f t="shared" si="6"/>
        <v>17</v>
      </c>
      <c r="V14" s="17" t="str">
        <f t="shared" si="7"/>
        <v>PA</v>
      </c>
    </row>
    <row r="15" spans="1:22" x14ac:dyDescent="0.3">
      <c r="A15" s="5" t="s">
        <v>84</v>
      </c>
      <c r="B15" s="1" t="s">
        <v>52</v>
      </c>
      <c r="C15" s="1" t="s">
        <v>9</v>
      </c>
      <c r="D15" s="11">
        <v>45078.417256944442</v>
      </c>
      <c r="E15" s="1" t="s">
        <v>53</v>
      </c>
      <c r="F15" s="1" t="s">
        <v>33</v>
      </c>
      <c r="G15" s="1" t="s">
        <v>26</v>
      </c>
      <c r="H15" s="6" t="s">
        <v>19</v>
      </c>
      <c r="J15" s="17" t="str">
        <f t="shared" si="0"/>
        <v>123 Elm St Chicago, IL, 60601</v>
      </c>
      <c r="L15" s="17" t="str" cm="1">
        <f t="array" ref="L15:M15">_xlfn.TEXTSPLIT(B15," ")</f>
        <v>Phyllis</v>
      </c>
      <c r="M15" s="17" t="str">
        <v>Vance</v>
      </c>
      <c r="O15" s="17" t="str">
        <f t="shared" si="1"/>
        <v>0123561</v>
      </c>
      <c r="Q15">
        <f t="shared" si="2"/>
        <v>10</v>
      </c>
      <c r="R15">
        <f t="shared" si="3"/>
        <v>12</v>
      </c>
      <c r="S15" t="str">
        <f t="shared" si="4"/>
        <v>IL</v>
      </c>
      <c r="T15" s="17">
        <f t="shared" si="5"/>
        <v>10</v>
      </c>
      <c r="U15" s="17">
        <f t="shared" si="6"/>
        <v>12</v>
      </c>
      <c r="V15" s="17" t="str">
        <f t="shared" si="7"/>
        <v>IL</v>
      </c>
    </row>
    <row r="16" spans="1:22" x14ac:dyDescent="0.3">
      <c r="A16" s="5" t="s">
        <v>85</v>
      </c>
      <c r="B16" s="1" t="s">
        <v>60</v>
      </c>
      <c r="C16" s="1" t="s">
        <v>9</v>
      </c>
      <c r="D16" s="11">
        <v>45168.729328703703</v>
      </c>
      <c r="E16" s="1" t="s">
        <v>61</v>
      </c>
      <c r="F16" s="1" t="s">
        <v>28</v>
      </c>
      <c r="G16" s="1" t="s">
        <v>26</v>
      </c>
      <c r="H16" s="6" t="s">
        <v>20</v>
      </c>
      <c r="J16" s="17" t="str">
        <f t="shared" si="0"/>
        <v>456 Oak St Chicago, IL, 60601</v>
      </c>
      <c r="L16" s="17" t="str" cm="1">
        <f t="array" ref="L16:M16">_xlfn.TEXTSPLIT(B16," ")</f>
        <v>Meredith</v>
      </c>
      <c r="M16" s="17" t="str">
        <v>Palmer</v>
      </c>
      <c r="O16" s="17" t="str">
        <f t="shared" si="1"/>
        <v>0123562</v>
      </c>
      <c r="Q16">
        <f t="shared" si="2"/>
        <v>10</v>
      </c>
      <c r="R16">
        <f t="shared" si="3"/>
        <v>12</v>
      </c>
      <c r="S16" t="str">
        <f t="shared" si="4"/>
        <v>IL</v>
      </c>
      <c r="T16" s="17">
        <f t="shared" si="5"/>
        <v>10</v>
      </c>
      <c r="U16" s="17">
        <f t="shared" si="6"/>
        <v>12</v>
      </c>
      <c r="V16" s="17" t="str">
        <f t="shared" si="7"/>
        <v>IL</v>
      </c>
    </row>
    <row r="17" spans="1:22" x14ac:dyDescent="0.3">
      <c r="A17" s="5" t="s">
        <v>86</v>
      </c>
      <c r="B17" s="1" t="s">
        <v>38</v>
      </c>
      <c r="C17" s="1" t="s">
        <v>7</v>
      </c>
      <c r="D17" s="11">
        <v>45218.319780092592</v>
      </c>
      <c r="E17" s="1" t="s">
        <v>39</v>
      </c>
      <c r="F17" s="1" t="s">
        <v>25</v>
      </c>
      <c r="G17" s="1" t="s">
        <v>37</v>
      </c>
      <c r="H17" s="6" t="s">
        <v>14</v>
      </c>
      <c r="J17" s="17" t="str">
        <f t="shared" si="0"/>
        <v>203 Birch St Chicago, IL, 60602</v>
      </c>
      <c r="L17" s="17" t="str" cm="1">
        <f t="array" ref="L17:M17">_xlfn.TEXTSPLIT(B17," ")</f>
        <v>Michael</v>
      </c>
      <c r="M17" s="17" t="str">
        <v>Scott</v>
      </c>
      <c r="O17" s="17" t="str">
        <f t="shared" si="1"/>
        <v>0123563</v>
      </c>
      <c r="Q17">
        <f t="shared" si="2"/>
        <v>10</v>
      </c>
      <c r="R17">
        <f t="shared" si="3"/>
        <v>12</v>
      </c>
      <c r="S17" t="str">
        <f t="shared" si="4"/>
        <v>IL</v>
      </c>
      <c r="T17" s="17">
        <f t="shared" si="5"/>
        <v>10</v>
      </c>
      <c r="U17" s="17">
        <f t="shared" si="6"/>
        <v>12</v>
      </c>
      <c r="V17" s="17" t="str">
        <f t="shared" si="7"/>
        <v>IL</v>
      </c>
    </row>
    <row r="18" spans="1:22" x14ac:dyDescent="0.3">
      <c r="A18" s="5" t="s">
        <v>87</v>
      </c>
      <c r="B18" s="1" t="s">
        <v>40</v>
      </c>
      <c r="C18" s="1" t="s">
        <v>12</v>
      </c>
      <c r="D18" s="11">
        <v>45350.719236111108</v>
      </c>
      <c r="E18" s="1" t="s">
        <v>41</v>
      </c>
      <c r="F18" s="1" t="s">
        <v>29</v>
      </c>
      <c r="G18" s="1" t="s">
        <v>30</v>
      </c>
      <c r="H18" s="6" t="s">
        <v>10</v>
      </c>
      <c r="J18" s="17" t="str">
        <f t="shared" si="0"/>
        <v>459 Oak St Philadelphia, PA, 19101</v>
      </c>
      <c r="L18" s="17" t="str" cm="1">
        <f t="array" ref="L18:M18">_xlfn.TEXTSPLIT(B18," ")</f>
        <v>Jim</v>
      </c>
      <c r="M18" s="17" t="str">
        <v>Halpert</v>
      </c>
      <c r="O18" s="17" t="str">
        <f t="shared" si="1"/>
        <v>0123564</v>
      </c>
      <c r="Q18">
        <f t="shared" si="2"/>
        <v>15</v>
      </c>
      <c r="R18">
        <f t="shared" si="3"/>
        <v>17</v>
      </c>
      <c r="S18" t="str">
        <f t="shared" si="4"/>
        <v>PA</v>
      </c>
      <c r="T18" s="17">
        <f t="shared" si="5"/>
        <v>15</v>
      </c>
      <c r="U18" s="17">
        <f t="shared" si="6"/>
        <v>17</v>
      </c>
      <c r="V18" s="17" t="str">
        <f t="shared" si="7"/>
        <v>PA</v>
      </c>
    </row>
    <row r="19" spans="1:22" x14ac:dyDescent="0.3">
      <c r="A19" s="5" t="s">
        <v>88</v>
      </c>
      <c r="B19" s="1" t="s">
        <v>48</v>
      </c>
      <c r="C19" s="1" t="s">
        <v>7</v>
      </c>
      <c r="D19" s="11">
        <v>45418.726354166669</v>
      </c>
      <c r="E19" s="1" t="s">
        <v>49</v>
      </c>
      <c r="F19" s="1" t="s">
        <v>28</v>
      </c>
      <c r="G19" s="1" t="s">
        <v>36</v>
      </c>
      <c r="H19" s="6" t="s">
        <v>8</v>
      </c>
      <c r="J19" s="17" t="str">
        <f t="shared" si="0"/>
        <v>456 Oak St New York, NY, 10001</v>
      </c>
      <c r="L19" s="17" t="str" cm="1">
        <f t="array" ref="L19:M19">_xlfn.TEXTSPLIT(B19," ")</f>
        <v>Kelly</v>
      </c>
      <c r="M19" s="17" t="str">
        <v>Kapoor</v>
      </c>
      <c r="O19" s="17" t="str">
        <f t="shared" si="1"/>
        <v>0123565</v>
      </c>
      <c r="Q19">
        <f t="shared" si="2"/>
        <v>11</v>
      </c>
      <c r="R19">
        <f t="shared" si="3"/>
        <v>13</v>
      </c>
      <c r="S19" t="str">
        <f t="shared" si="4"/>
        <v>NY</v>
      </c>
      <c r="T19" s="17">
        <f t="shared" si="5"/>
        <v>11</v>
      </c>
      <c r="U19" s="17">
        <f t="shared" si="6"/>
        <v>13</v>
      </c>
      <c r="V19" s="17" t="str">
        <f t="shared" si="7"/>
        <v>NY</v>
      </c>
    </row>
    <row r="20" spans="1:22" x14ac:dyDescent="0.3">
      <c r="A20" s="5" t="s">
        <v>89</v>
      </c>
      <c r="B20" s="1" t="s">
        <v>40</v>
      </c>
      <c r="C20" s="1" t="s">
        <v>9</v>
      </c>
      <c r="D20" s="11">
        <v>45496.291701388887</v>
      </c>
      <c r="E20" s="1" t="s">
        <v>41</v>
      </c>
      <c r="F20" s="1" t="s">
        <v>29</v>
      </c>
      <c r="G20" s="1" t="s">
        <v>30</v>
      </c>
      <c r="H20" s="6" t="s">
        <v>10</v>
      </c>
      <c r="J20" s="17" t="str">
        <f t="shared" si="0"/>
        <v>459 Oak St Philadelphia, PA, 19101</v>
      </c>
      <c r="L20" s="17" t="str" cm="1">
        <f t="array" ref="L20:M20">_xlfn.TEXTSPLIT(B20," ")</f>
        <v>Jim</v>
      </c>
      <c r="M20" s="17" t="str">
        <v>Halpert</v>
      </c>
      <c r="O20" s="17" t="str">
        <f t="shared" si="1"/>
        <v>0123566</v>
      </c>
      <c r="Q20">
        <f t="shared" si="2"/>
        <v>15</v>
      </c>
      <c r="R20">
        <f t="shared" si="3"/>
        <v>17</v>
      </c>
      <c r="S20" t="str">
        <f t="shared" si="4"/>
        <v>PA</v>
      </c>
      <c r="T20" s="17">
        <f t="shared" si="5"/>
        <v>15</v>
      </c>
      <c r="U20" s="17">
        <f t="shared" si="6"/>
        <v>17</v>
      </c>
      <c r="V20" s="17" t="str">
        <f t="shared" si="7"/>
        <v>PA</v>
      </c>
    </row>
    <row r="21" spans="1:22" ht="15" thickBot="1" x14ac:dyDescent="0.35">
      <c r="A21" s="5" t="s">
        <v>90</v>
      </c>
      <c r="B21" s="7" t="s">
        <v>40</v>
      </c>
      <c r="C21" s="7" t="s">
        <v>9</v>
      </c>
      <c r="D21" s="12">
        <v>45422.739884259259</v>
      </c>
      <c r="E21" s="7" t="s">
        <v>41</v>
      </c>
      <c r="F21" s="7" t="s">
        <v>29</v>
      </c>
      <c r="G21" s="7" t="s">
        <v>36</v>
      </c>
      <c r="H21" s="8" t="s">
        <v>10</v>
      </c>
      <c r="J21" s="17" t="str">
        <f t="shared" si="0"/>
        <v>459 Oak St New York, NY, 10001</v>
      </c>
      <c r="L21" s="17" t="str" cm="1">
        <f t="array" ref="L21:M21">_xlfn.TEXTSPLIT(B21," ")</f>
        <v>Jim</v>
      </c>
      <c r="M21" s="17" t="str">
        <v>Halpert</v>
      </c>
      <c r="O21" s="17" t="str">
        <f t="shared" si="1"/>
        <v>0123567</v>
      </c>
      <c r="Q21">
        <f t="shared" si="2"/>
        <v>11</v>
      </c>
      <c r="R21">
        <f t="shared" si="3"/>
        <v>13</v>
      </c>
      <c r="S21" t="str">
        <f t="shared" si="4"/>
        <v>NY</v>
      </c>
      <c r="T21" s="17">
        <f t="shared" si="5"/>
        <v>11</v>
      </c>
      <c r="U21" s="17">
        <f t="shared" si="6"/>
        <v>13</v>
      </c>
      <c r="V21" s="17"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topLeftCell="B1" workbookViewId="0"/>
  </sheetViews>
  <sheetFormatPr defaultRowHeight="14.4" x14ac:dyDescent="0.3"/>
  <cols>
    <col min="1" max="1" width="14.21875" bestFit="1" customWidth="1"/>
    <col min="2" max="2" width="18.6640625" customWidth="1"/>
    <col min="3" max="3" width="27.21875" style="9" bestFit="1" customWidth="1"/>
    <col min="4" max="4" width="16.5546875" customWidth="1"/>
    <col min="5" max="5" width="11" bestFit="1" customWidth="1"/>
    <col min="6" max="6" width="22" bestFit="1" customWidth="1"/>
    <col min="7" max="7" width="40" bestFit="1" customWidth="1"/>
    <col min="8" max="8" width="40" customWidth="1"/>
    <col min="9" max="9" width="9" customWidth="1"/>
    <col min="10" max="10" width="29.109375" bestFit="1" customWidth="1"/>
  </cols>
  <sheetData>
    <row r="1" spans="1:10" x14ac:dyDescent="0.3">
      <c r="A1" s="2" t="s">
        <v>69</v>
      </c>
      <c r="B1" s="3" t="s">
        <v>2</v>
      </c>
      <c r="C1" s="3" t="s">
        <v>3</v>
      </c>
      <c r="D1" s="10" t="s">
        <v>92</v>
      </c>
      <c r="E1" s="3" t="s">
        <v>0</v>
      </c>
      <c r="F1" s="3" t="s">
        <v>21</v>
      </c>
      <c r="G1" s="3" t="s">
        <v>22</v>
      </c>
      <c r="H1" s="4" t="s">
        <v>4</v>
      </c>
      <c r="J1" s="14" t="s">
        <v>62</v>
      </c>
    </row>
    <row r="2" spans="1:10" x14ac:dyDescent="0.3">
      <c r="A2" s="5" t="s">
        <v>72</v>
      </c>
      <c r="B2" s="1" t="s">
        <v>42</v>
      </c>
      <c r="C2" s="1" t="s">
        <v>1</v>
      </c>
      <c r="D2" s="11">
        <v>44971.640451388892</v>
      </c>
      <c r="E2" s="1" t="s">
        <v>43</v>
      </c>
      <c r="F2" s="1" t="s">
        <v>23</v>
      </c>
      <c r="G2" s="1" t="s">
        <v>24</v>
      </c>
      <c r="H2" s="6" t="s">
        <v>11</v>
      </c>
      <c r="J2" t="str">
        <f>_xlfn.TEXTJOIN(" ",TRUE,F2,G2)</f>
        <v>457 Oak St San Jose, CA, 95101</v>
      </c>
    </row>
    <row r="3" spans="1:10" x14ac:dyDescent="0.3">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
      <c r="A4" s="5" t="s">
        <v>73</v>
      </c>
      <c r="B4" s="1" t="s">
        <v>58</v>
      </c>
      <c r="C4" s="1" t="s">
        <v>12</v>
      </c>
      <c r="D4" s="11">
        <v>45128.729710648149</v>
      </c>
      <c r="E4" s="1" t="s">
        <v>59</v>
      </c>
      <c r="F4" s="1" t="s">
        <v>27</v>
      </c>
      <c r="G4" s="1" t="s">
        <v>26</v>
      </c>
      <c r="H4" s="6" t="s">
        <v>6</v>
      </c>
      <c r="J4" t="str">
        <f t="shared" si="0"/>
        <v>790 Pine St Chicago, IL, 60601</v>
      </c>
    </row>
    <row r="5" spans="1:10" x14ac:dyDescent="0.3">
      <c r="A5" s="5" t="s">
        <v>74</v>
      </c>
      <c r="B5" s="1" t="s">
        <v>42</v>
      </c>
      <c r="C5" s="1" t="s">
        <v>5</v>
      </c>
      <c r="D5" s="11">
        <v>45173.302187499998</v>
      </c>
      <c r="E5" s="1" t="s">
        <v>43</v>
      </c>
      <c r="F5" s="1" t="s">
        <v>23</v>
      </c>
      <c r="G5" s="1" t="s">
        <v>24</v>
      </c>
      <c r="H5" s="6" t="s">
        <v>11</v>
      </c>
      <c r="J5" t="str">
        <f t="shared" si="0"/>
        <v>457 Oak St San Jose, CA, 95101</v>
      </c>
    </row>
    <row r="6" spans="1:10" x14ac:dyDescent="0.3">
      <c r="A6" s="5" t="s">
        <v>75</v>
      </c>
      <c r="B6" s="1" t="s">
        <v>40</v>
      </c>
      <c r="C6" s="1" t="s">
        <v>7</v>
      </c>
      <c r="D6" s="11">
        <v>45248.70857638889</v>
      </c>
      <c r="E6" s="1" t="s">
        <v>41</v>
      </c>
      <c r="F6" s="1" t="s">
        <v>29</v>
      </c>
      <c r="G6" s="1" t="s">
        <v>30</v>
      </c>
      <c r="H6" s="6" t="s">
        <v>10</v>
      </c>
      <c r="J6" t="str">
        <f t="shared" si="0"/>
        <v>459 Oak St Philadelphia, PA, 19101</v>
      </c>
    </row>
    <row r="7" spans="1:10" x14ac:dyDescent="0.3">
      <c r="A7" s="5" t="s">
        <v>76</v>
      </c>
      <c r="B7" s="1" t="s">
        <v>46</v>
      </c>
      <c r="C7" s="1" t="s">
        <v>9</v>
      </c>
      <c r="D7" s="11">
        <v>45302.531921296293</v>
      </c>
      <c r="E7" s="1" t="s">
        <v>47</v>
      </c>
      <c r="F7" s="1" t="s">
        <v>31</v>
      </c>
      <c r="G7" s="1" t="s">
        <v>30</v>
      </c>
      <c r="H7" s="6" t="s">
        <v>15</v>
      </c>
      <c r="J7" t="str">
        <f t="shared" si="0"/>
        <v>204 Birch St Philadelphia, PA, 19101</v>
      </c>
    </row>
    <row r="8" spans="1:10" x14ac:dyDescent="0.3">
      <c r="A8" s="5" t="s">
        <v>77</v>
      </c>
      <c r="B8" s="1" t="s">
        <v>58</v>
      </c>
      <c r="C8" s="1" t="s">
        <v>5</v>
      </c>
      <c r="D8" s="11">
        <v>45354.687881944446</v>
      </c>
      <c r="E8" s="1" t="s">
        <v>59</v>
      </c>
      <c r="F8" s="1" t="s">
        <v>27</v>
      </c>
      <c r="G8" s="1" t="s">
        <v>26</v>
      </c>
      <c r="H8" s="6" t="s">
        <v>6</v>
      </c>
      <c r="J8" t="str">
        <f t="shared" si="0"/>
        <v>790 Pine St Chicago, IL, 60601</v>
      </c>
    </row>
    <row r="9" spans="1:10" x14ac:dyDescent="0.3">
      <c r="A9" s="5" t="s">
        <v>78</v>
      </c>
      <c r="B9" s="1" t="s">
        <v>46</v>
      </c>
      <c r="C9" s="1" t="s">
        <v>1</v>
      </c>
      <c r="D9" s="11">
        <v>45408.340810185182</v>
      </c>
      <c r="E9" s="1" t="s">
        <v>47</v>
      </c>
      <c r="F9" s="1" t="s">
        <v>31</v>
      </c>
      <c r="G9" s="1" t="s">
        <v>30</v>
      </c>
      <c r="H9" s="6" t="s">
        <v>15</v>
      </c>
      <c r="J9" t="str">
        <f t="shared" si="0"/>
        <v>204 Birch St Philadelphia, PA, 19101</v>
      </c>
    </row>
    <row r="10" spans="1:10" x14ac:dyDescent="0.3">
      <c r="A10" s="5" t="s">
        <v>79</v>
      </c>
      <c r="B10" s="1" t="s">
        <v>50</v>
      </c>
      <c r="C10" s="1" t="s">
        <v>7</v>
      </c>
      <c r="D10" s="11">
        <v>45458.743333333332</v>
      </c>
      <c r="E10" s="1" t="s">
        <v>51</v>
      </c>
      <c r="F10" s="1" t="s">
        <v>33</v>
      </c>
      <c r="G10" s="1" t="s">
        <v>26</v>
      </c>
      <c r="H10" s="6" t="s">
        <v>18</v>
      </c>
      <c r="J10" t="str">
        <f t="shared" si="0"/>
        <v>123 Elm St Chicago, IL, 60601</v>
      </c>
    </row>
    <row r="11" spans="1:10" x14ac:dyDescent="0.3">
      <c r="A11" s="5" t="s">
        <v>80</v>
      </c>
      <c r="B11" s="1" t="s">
        <v>54</v>
      </c>
      <c r="C11" s="1" t="s">
        <v>12</v>
      </c>
      <c r="D11" s="11">
        <v>45480.608055555553</v>
      </c>
      <c r="E11" s="1" t="s">
        <v>55</v>
      </c>
      <c r="F11" s="1" t="s">
        <v>33</v>
      </c>
      <c r="G11" s="1" t="s">
        <v>32</v>
      </c>
      <c r="H11" s="6" t="s">
        <v>13</v>
      </c>
      <c r="J11" t="str">
        <f t="shared" si="0"/>
        <v>123 Elm St Los Angeles, CA, 90001</v>
      </c>
    </row>
    <row r="12" spans="1:10" x14ac:dyDescent="0.3">
      <c r="A12" s="5" t="s">
        <v>81</v>
      </c>
      <c r="B12" s="1" t="s">
        <v>44</v>
      </c>
      <c r="C12" s="1" t="s">
        <v>7</v>
      </c>
      <c r="D12" s="11">
        <v>45455.284930555557</v>
      </c>
      <c r="E12" s="1" t="s">
        <v>45</v>
      </c>
      <c r="F12" s="1" t="s">
        <v>33</v>
      </c>
      <c r="G12" s="1" t="s">
        <v>34</v>
      </c>
      <c r="H12" s="6" t="s">
        <v>17</v>
      </c>
      <c r="J12" t="str">
        <f t="shared" si="0"/>
        <v>123 Elm St San Diego, CA, 92101</v>
      </c>
    </row>
    <row r="13" spans="1:10" x14ac:dyDescent="0.3">
      <c r="A13" s="5" t="s">
        <v>82</v>
      </c>
      <c r="B13" s="1" t="s">
        <v>56</v>
      </c>
      <c r="C13" s="1" t="s">
        <v>9</v>
      </c>
      <c r="D13" s="11">
        <v>44951.552141203705</v>
      </c>
      <c r="E13" s="1" t="s">
        <v>57</v>
      </c>
      <c r="F13" s="1" t="s">
        <v>35</v>
      </c>
      <c r="G13" s="1" t="s">
        <v>26</v>
      </c>
      <c r="H13" s="6" t="s">
        <v>16</v>
      </c>
      <c r="J13" t="str">
        <f t="shared" si="0"/>
        <v>202 Birch St Chicago, IL, 60601</v>
      </c>
    </row>
    <row r="14" spans="1:10" x14ac:dyDescent="0.3">
      <c r="A14" s="5" t="s">
        <v>83</v>
      </c>
      <c r="B14" s="1" t="s">
        <v>46</v>
      </c>
      <c r="C14" s="1" t="s">
        <v>12</v>
      </c>
      <c r="D14" s="11">
        <v>45002.490034722221</v>
      </c>
      <c r="E14" s="1" t="s">
        <v>47</v>
      </c>
      <c r="F14" s="1" t="s">
        <v>31</v>
      </c>
      <c r="G14" s="1" t="s">
        <v>30</v>
      </c>
      <c r="H14" s="6" t="s">
        <v>15</v>
      </c>
      <c r="J14" t="str">
        <f t="shared" si="0"/>
        <v>204 Birch St Philadelphia, PA, 19101</v>
      </c>
    </row>
    <row r="15" spans="1:10" x14ac:dyDescent="0.3">
      <c r="A15" s="5" t="s">
        <v>84</v>
      </c>
      <c r="B15" s="1" t="s">
        <v>52</v>
      </c>
      <c r="C15" s="1" t="s">
        <v>9</v>
      </c>
      <c r="D15" s="11">
        <v>45078.417256944442</v>
      </c>
      <c r="E15" s="1" t="s">
        <v>53</v>
      </c>
      <c r="F15" s="1" t="s">
        <v>33</v>
      </c>
      <c r="G15" s="1" t="s">
        <v>26</v>
      </c>
      <c r="H15" s="6" t="s">
        <v>19</v>
      </c>
      <c r="J15" t="str">
        <f t="shared" si="0"/>
        <v>123 Elm St Chicago, IL, 60601</v>
      </c>
    </row>
    <row r="16" spans="1:10" x14ac:dyDescent="0.3">
      <c r="A16" s="5" t="s">
        <v>85</v>
      </c>
      <c r="B16" s="1" t="s">
        <v>60</v>
      </c>
      <c r="C16" s="1" t="s">
        <v>9</v>
      </c>
      <c r="D16" s="11">
        <v>45168.729328703703</v>
      </c>
      <c r="E16" s="1" t="s">
        <v>61</v>
      </c>
      <c r="F16" s="1" t="s">
        <v>28</v>
      </c>
      <c r="G16" s="1" t="s">
        <v>26</v>
      </c>
      <c r="H16" s="6" t="s">
        <v>20</v>
      </c>
      <c r="J16" t="str">
        <f t="shared" si="0"/>
        <v>456 Oak St Chicago, IL, 60601</v>
      </c>
    </row>
    <row r="17" spans="1:10" x14ac:dyDescent="0.3">
      <c r="A17" s="5" t="s">
        <v>86</v>
      </c>
      <c r="B17" s="1" t="s">
        <v>38</v>
      </c>
      <c r="C17" s="1" t="s">
        <v>7</v>
      </c>
      <c r="D17" s="11">
        <v>45218.319780092592</v>
      </c>
      <c r="E17" s="1" t="s">
        <v>39</v>
      </c>
      <c r="F17" s="1" t="s">
        <v>25</v>
      </c>
      <c r="G17" s="1" t="s">
        <v>37</v>
      </c>
      <c r="H17" s="6" t="s">
        <v>14</v>
      </c>
      <c r="J17" t="str">
        <f t="shared" si="0"/>
        <v>203 Birch St Chicago, IL, 60602</v>
      </c>
    </row>
    <row r="18" spans="1:10" x14ac:dyDescent="0.3">
      <c r="A18" s="5" t="s">
        <v>87</v>
      </c>
      <c r="B18" s="1" t="s">
        <v>40</v>
      </c>
      <c r="C18" s="1" t="s">
        <v>12</v>
      </c>
      <c r="D18" s="11">
        <v>45350.719236111108</v>
      </c>
      <c r="E18" s="1" t="s">
        <v>41</v>
      </c>
      <c r="F18" s="1" t="s">
        <v>29</v>
      </c>
      <c r="G18" s="1" t="s">
        <v>30</v>
      </c>
      <c r="H18" s="6" t="s">
        <v>10</v>
      </c>
      <c r="J18" t="str">
        <f t="shared" si="0"/>
        <v>459 Oak St Philadelphia, PA, 19101</v>
      </c>
    </row>
    <row r="19" spans="1:10" x14ac:dyDescent="0.3">
      <c r="A19" s="5" t="s">
        <v>88</v>
      </c>
      <c r="B19" s="1" t="s">
        <v>48</v>
      </c>
      <c r="C19" s="1" t="s">
        <v>7</v>
      </c>
      <c r="D19" s="11">
        <v>45418.726354166669</v>
      </c>
      <c r="E19" s="1" t="s">
        <v>49</v>
      </c>
      <c r="F19" s="1" t="s">
        <v>28</v>
      </c>
      <c r="G19" s="1" t="s">
        <v>36</v>
      </c>
      <c r="H19" s="6" t="s">
        <v>8</v>
      </c>
      <c r="J19" t="str">
        <f t="shared" si="0"/>
        <v>456 Oak St New York, NY, 10001</v>
      </c>
    </row>
    <row r="20" spans="1:10" x14ac:dyDescent="0.3">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3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4.4" x14ac:dyDescent="0.3"/>
  <cols>
    <col min="1" max="1" width="14.21875" bestFit="1" customWidth="1"/>
    <col min="2" max="2" width="23.44140625" bestFit="1" customWidth="1"/>
    <col min="3" max="3" width="29" style="9" customWidth="1"/>
    <col min="4" max="4" width="16" customWidth="1"/>
    <col min="5" max="5" width="11.88671875" customWidth="1"/>
    <col min="6" max="6" width="22" customWidth="1"/>
    <col min="7" max="8" width="40" customWidth="1"/>
    <col min="9" max="9" width="10.5546875" bestFit="1" customWidth="1"/>
    <col min="10" max="10" width="10.109375" bestFit="1" customWidth="1"/>
    <col min="12" max="12" width="27.21875" bestFit="1" customWidth="1"/>
    <col min="13" max="13" width="17.6640625" bestFit="1" customWidth="1"/>
    <col min="14" max="14" width="18.5546875" bestFit="1" customWidth="1"/>
  </cols>
  <sheetData>
    <row r="1" spans="1:14" x14ac:dyDescent="0.3">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3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topLeftCell="D1" zoomScaleNormal="100" workbookViewId="0">
      <selection activeCell="I13" sqref="I13"/>
    </sheetView>
  </sheetViews>
  <sheetFormatPr defaultColWidth="21.21875" defaultRowHeight="14.4" x14ac:dyDescent="0.3"/>
  <cols>
    <col min="3" max="3" width="21.21875" style="9"/>
    <col min="8" max="8" width="37.44140625" customWidth="1"/>
    <col min="10" max="10" width="7.88671875" customWidth="1"/>
    <col min="11" max="11" width="12.77734375" customWidth="1"/>
    <col min="12" max="12" width="14.109375" customWidth="1"/>
  </cols>
  <sheetData>
    <row r="1" spans="1:12" x14ac:dyDescent="0.3">
      <c r="A1" s="2" t="s">
        <v>69</v>
      </c>
      <c r="B1" s="3" t="s">
        <v>2</v>
      </c>
      <c r="C1" s="3" t="s">
        <v>3</v>
      </c>
      <c r="D1" s="10" t="s">
        <v>92</v>
      </c>
      <c r="E1" s="3" t="s">
        <v>0</v>
      </c>
      <c r="F1" s="3" t="s">
        <v>21</v>
      </c>
      <c r="G1" s="3" t="s">
        <v>22</v>
      </c>
      <c r="H1" s="4" t="s">
        <v>4</v>
      </c>
      <c r="J1" s="19" t="s">
        <v>64</v>
      </c>
      <c r="K1" s="19"/>
      <c r="L1" s="19"/>
    </row>
    <row r="2" spans="1:12" x14ac:dyDescent="0.3">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3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zoomScaleNormal="100" workbookViewId="0">
      <selection activeCell="F13" sqref="F13"/>
    </sheetView>
  </sheetViews>
  <sheetFormatPr defaultRowHeight="14.4" x14ac:dyDescent="0.3"/>
  <cols>
    <col min="1" max="1" width="24.44140625" customWidth="1"/>
    <col min="2" max="2" width="10.77734375" customWidth="1"/>
  </cols>
  <sheetData>
    <row r="2" spans="1:75" x14ac:dyDescent="0.3">
      <c r="A2" s="15" t="s">
        <v>94</v>
      </c>
      <c r="B2" s="16"/>
    </row>
    <row r="3" spans="1:75" x14ac:dyDescent="0.3">
      <c r="A3" s="17"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3">
      <c r="A5" s="15" t="s">
        <v>67</v>
      </c>
      <c r="B5" s="16"/>
    </row>
    <row r="6" spans="1:75" x14ac:dyDescent="0.3">
      <c r="A6" s="17"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3">
      <c r="A8" s="15" t="s">
        <v>68</v>
      </c>
      <c r="B8" s="15" t="s">
        <v>93</v>
      </c>
      <c r="C8" s="16"/>
      <c r="D8" s="16"/>
      <c r="E8" s="16"/>
      <c r="F8" s="16"/>
    </row>
    <row r="9" spans="1:75" x14ac:dyDescent="0.3">
      <c r="A9" s="18" t="str" cm="1">
        <f t="array" ref="A9:A25">_xlfn.UNIQUE(TRANSPOSE(6:6))</f>
        <v>Kafka</v>
      </c>
      <c r="B9" s="18">
        <f>COUNTIF($6:$6,A9)</f>
        <v>3</v>
      </c>
    </row>
    <row r="10" spans="1:75" x14ac:dyDescent="0.3">
      <c r="A10" s="18" t="str">
        <v>DataBricks</v>
      </c>
      <c r="B10" s="18">
        <f t="shared" ref="B10:B25" si="0">COUNTIF($6:$6,A10)</f>
        <v>12</v>
      </c>
    </row>
    <row r="11" spans="1:75" x14ac:dyDescent="0.3">
      <c r="A11" s="18" t="str">
        <v>Spark</v>
      </c>
      <c r="B11" s="18">
        <f t="shared" si="0"/>
        <v>2</v>
      </c>
    </row>
    <row r="12" spans="1:75" x14ac:dyDescent="0.3">
      <c r="A12" s="18" t="str">
        <v>Python</v>
      </c>
      <c r="B12" s="18">
        <f t="shared" si="0"/>
        <v>2</v>
      </c>
    </row>
    <row r="13" spans="1:75" x14ac:dyDescent="0.3">
      <c r="A13" s="18" t="str">
        <v>GCP</v>
      </c>
      <c r="B13" s="18">
        <f t="shared" si="0"/>
        <v>4</v>
      </c>
    </row>
    <row r="14" spans="1:75" x14ac:dyDescent="0.3">
      <c r="A14" s="18" t="str">
        <v>Power BI</v>
      </c>
      <c r="B14" s="18">
        <f t="shared" si="0"/>
        <v>5</v>
      </c>
    </row>
    <row r="15" spans="1:75" x14ac:dyDescent="0.3">
      <c r="A15" s="18" t="str">
        <v>Airflow</v>
      </c>
      <c r="B15" s="18">
        <f t="shared" si="0"/>
        <v>6</v>
      </c>
    </row>
    <row r="16" spans="1:75" x14ac:dyDescent="0.3">
      <c r="A16" s="18" t="str">
        <v>Hadoop</v>
      </c>
      <c r="B16" s="18">
        <f t="shared" si="0"/>
        <v>7</v>
      </c>
    </row>
    <row r="17" spans="1:2" x14ac:dyDescent="0.3">
      <c r="A17" s="18" t="str">
        <v>R</v>
      </c>
      <c r="B17" s="18">
        <f t="shared" si="0"/>
        <v>6</v>
      </c>
    </row>
    <row r="18" spans="1:2" x14ac:dyDescent="0.3">
      <c r="A18" s="18" t="str">
        <v>Azure</v>
      </c>
      <c r="B18" s="18">
        <f t="shared" si="0"/>
        <v>4</v>
      </c>
    </row>
    <row r="19" spans="1:2" x14ac:dyDescent="0.3">
      <c r="A19" s="18" t="str">
        <v>Java</v>
      </c>
      <c r="B19" s="18">
        <f t="shared" si="0"/>
        <v>7</v>
      </c>
    </row>
    <row r="20" spans="1:2" x14ac:dyDescent="0.3">
      <c r="A20" s="18" t="str">
        <v>SQL</v>
      </c>
      <c r="B20" s="18">
        <f t="shared" si="0"/>
        <v>4</v>
      </c>
    </row>
    <row r="21" spans="1:2" x14ac:dyDescent="0.3">
      <c r="A21" s="18" t="str">
        <v>Snowflake</v>
      </c>
      <c r="B21" s="18">
        <f t="shared" si="0"/>
        <v>5</v>
      </c>
    </row>
    <row r="22" spans="1:2" x14ac:dyDescent="0.3">
      <c r="A22" s="18" t="str">
        <v>Scala</v>
      </c>
      <c r="B22" s="18">
        <f t="shared" si="0"/>
        <v>5</v>
      </c>
    </row>
    <row r="23" spans="1:2" x14ac:dyDescent="0.3">
      <c r="A23" s="18" t="str">
        <v>Excel</v>
      </c>
      <c r="B23" s="18">
        <f t="shared" si="0"/>
        <v>2</v>
      </c>
    </row>
    <row r="24" spans="1:2" x14ac:dyDescent="0.3">
      <c r="A24" s="18" t="str">
        <v>Tableau</v>
      </c>
      <c r="B24" s="18">
        <f t="shared" si="0"/>
        <v>1</v>
      </c>
    </row>
    <row r="25" spans="1:2" x14ac:dyDescent="0.3">
      <c r="A25" s="18">
        <v>0</v>
      </c>
      <c r="B25" s="18">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Adam Khumaini Yussaini</cp:lastModifiedBy>
  <dcterms:created xsi:type="dcterms:W3CDTF">2015-06-05T18:17:20Z</dcterms:created>
  <dcterms:modified xsi:type="dcterms:W3CDTF">2025-11-07T07:37:55Z</dcterms:modified>
</cp:coreProperties>
</file>