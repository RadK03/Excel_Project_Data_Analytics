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amk\OneDrive\Documents\Project Freelancing\Excel Data Analytics Content\2_Formulas_Functions\"/>
    </mc:Choice>
  </mc:AlternateContent>
  <xr:revisionPtr revIDLastSave="0" documentId="13_ncr:1_{96192E93-EFFD-4277-89FB-E758350DB041}" xr6:coauthVersionLast="47" xr6:coauthVersionMax="47" xr10:uidLastSave="{00000000-0000-0000-0000-000000000000}"/>
  <bookViews>
    <workbookView xWindow="-108" yWindow="-108" windowWidth="23256" windowHeight="13176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10" l="1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E4" i="12"/>
  <c r="E5" i="12"/>
  <c r="E6" i="12"/>
  <c r="E3" i="12"/>
  <c r="D4" i="12"/>
  <c r="D5" i="12"/>
  <c r="D6" i="12"/>
  <c r="D3" i="12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2" i="10"/>
  <c r="K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Q4" i="7" l="1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<sst xmlns="http://schemas.openxmlformats.org/spreadsheetml/2006/main" count="395" uniqueCount="144">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</sst>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  <xf numFmtId="0" fontId="4" fillId="2" borderId="20" xfId="0" applyFont="1" applyFill="1" applyBorder="1" applyAlignment="1">
      <alignment horizontal="center" wrapText="1"/>
    </xf>
    <xf numFmtId="0" fontId="3" fillId="0" borderId="21" xfId="0" applyFont="1" applyBorder="1"/>
    <xf numFmtId="0" fontId="3" fillId="0" borderId="1" xfId="0" applyFont="1" applyBorder="1"/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Normal="100" workbookViewId="0">
      <selection activeCell="Q3" sqref="Q3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109375" style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29" t="s">
        <v>18</v>
      </c>
      <c r="L2" s="50" t="s">
        <v>21</v>
      </c>
      <c r="M2" s="51" t="s">
        <v>20</v>
      </c>
      <c r="N2" s="51" t="s">
        <v>26</v>
      </c>
      <c r="O2" s="51" t="s">
        <v>27</v>
      </c>
      <c r="P2" s="52" t="s">
        <v>24</v>
      </c>
      <c r="Q2" s="47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30" t="b">
        <f>E3&gt;D3</f>
        <v>0</v>
      </c>
      <c r="L3" s="53" t="b">
        <f t="shared" ref="L3:L12" si="0">$C$15&lt;=C3</f>
        <v>1</v>
      </c>
      <c r="M3" s="49" t="b">
        <f t="shared" ref="M3:M12" si="1">$G3&gt;=$C$16</f>
        <v>1</v>
      </c>
      <c r="N3" s="49">
        <f>L3*M3</f>
        <v>1</v>
      </c>
      <c r="O3" s="49" t="b">
        <f>L3*M3=1</f>
        <v>1</v>
      </c>
      <c r="P3" s="54" t="b">
        <f>AND(L3,M3)</f>
        <v>1</v>
      </c>
      <c r="Q3" s="48" t="str">
        <f>IF(P3,"Goal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30" t="b">
        <f t="shared" ref="K4:K12" si="7">E4&gt;D4</f>
        <v>0</v>
      </c>
      <c r="L4" s="53" t="b">
        <f t="shared" si="0"/>
        <v>0</v>
      </c>
      <c r="M4" s="49" t="b">
        <f t="shared" si="1"/>
        <v>1</v>
      </c>
      <c r="N4" s="49">
        <f t="shared" ref="N4:N12" si="8">L4*M4</f>
        <v>0</v>
      </c>
      <c r="O4" s="49" t="b">
        <f t="shared" ref="O4:O12" si="9">L4*M4=1</f>
        <v>0</v>
      </c>
      <c r="P4" s="54" t="b">
        <f t="shared" ref="P4:P12" si="10">AND(L4,M4)</f>
        <v>0</v>
      </c>
      <c r="Q4" s="48" t="str">
        <f t="shared" ref="Q4:Q12" si="11">IF(P4,"Goal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30" t="b">
        <f t="shared" si="7"/>
        <v>0</v>
      </c>
      <c r="L5" s="53" t="b">
        <f t="shared" si="0"/>
        <v>0</v>
      </c>
      <c r="M5" s="49" t="b">
        <f t="shared" si="1"/>
        <v>0</v>
      </c>
      <c r="N5" s="49">
        <f t="shared" si="8"/>
        <v>0</v>
      </c>
      <c r="O5" s="49" t="b">
        <f t="shared" si="9"/>
        <v>0</v>
      </c>
      <c r="P5" s="54" t="b">
        <f t="shared" si="10"/>
        <v>0</v>
      </c>
      <c r="Q5" s="48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30" t="b">
        <f t="shared" si="7"/>
        <v>0</v>
      </c>
      <c r="L6" s="53" t="b">
        <f t="shared" si="0"/>
        <v>1</v>
      </c>
      <c r="M6" s="49" t="b">
        <f t="shared" si="1"/>
        <v>1</v>
      </c>
      <c r="N6" s="49">
        <f t="shared" si="8"/>
        <v>1</v>
      </c>
      <c r="O6" s="49" t="b">
        <f t="shared" si="9"/>
        <v>1</v>
      </c>
      <c r="P6" s="54" t="b">
        <f t="shared" si="10"/>
        <v>1</v>
      </c>
      <c r="Q6" s="48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30" t="b">
        <f t="shared" si="7"/>
        <v>0</v>
      </c>
      <c r="L7" s="53" t="b">
        <f t="shared" si="0"/>
        <v>0</v>
      </c>
      <c r="M7" s="49" t="b">
        <f t="shared" si="1"/>
        <v>1</v>
      </c>
      <c r="N7" s="49">
        <f t="shared" si="8"/>
        <v>0</v>
      </c>
      <c r="O7" s="49" t="b">
        <f t="shared" si="9"/>
        <v>0</v>
      </c>
      <c r="P7" s="54" t="b">
        <f t="shared" si="10"/>
        <v>0</v>
      </c>
      <c r="Q7" s="48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30" t="b">
        <f t="shared" si="7"/>
        <v>0</v>
      </c>
      <c r="L8" s="53" t="b">
        <f t="shared" si="0"/>
        <v>1</v>
      </c>
      <c r="M8" s="49" t="b">
        <f t="shared" si="1"/>
        <v>1</v>
      </c>
      <c r="N8" s="49">
        <f t="shared" si="8"/>
        <v>1</v>
      </c>
      <c r="O8" s="49" t="b">
        <f t="shared" si="9"/>
        <v>1</v>
      </c>
      <c r="P8" s="54" t="b">
        <f t="shared" si="10"/>
        <v>1</v>
      </c>
      <c r="Q8" s="48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30" t="b">
        <f t="shared" si="7"/>
        <v>0</v>
      </c>
      <c r="L9" s="53" t="b">
        <f t="shared" si="0"/>
        <v>1</v>
      </c>
      <c r="M9" s="49" t="b">
        <f t="shared" si="1"/>
        <v>1</v>
      </c>
      <c r="N9" s="49">
        <f t="shared" si="8"/>
        <v>1</v>
      </c>
      <c r="O9" s="49" t="b">
        <f t="shared" si="9"/>
        <v>1</v>
      </c>
      <c r="P9" s="54" t="b">
        <f t="shared" si="10"/>
        <v>1</v>
      </c>
      <c r="Q9" s="48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30" t="b">
        <f t="shared" si="7"/>
        <v>0</v>
      </c>
      <c r="L10" s="53" t="b">
        <f t="shared" si="0"/>
        <v>1</v>
      </c>
      <c r="M10" s="49" t="b">
        <f t="shared" si="1"/>
        <v>1</v>
      </c>
      <c r="N10" s="49">
        <f t="shared" si="8"/>
        <v>1</v>
      </c>
      <c r="O10" s="49" t="b">
        <f t="shared" si="9"/>
        <v>1</v>
      </c>
      <c r="P10" s="54" t="b">
        <f t="shared" si="10"/>
        <v>1</v>
      </c>
      <c r="Q10" s="48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30" t="b">
        <f t="shared" si="7"/>
        <v>0</v>
      </c>
      <c r="L11" s="53" t="b">
        <f t="shared" si="0"/>
        <v>0</v>
      </c>
      <c r="M11" s="49" t="b">
        <f t="shared" si="1"/>
        <v>1</v>
      </c>
      <c r="N11" s="49">
        <f t="shared" si="8"/>
        <v>0</v>
      </c>
      <c r="O11" s="49" t="b">
        <f t="shared" si="9"/>
        <v>0</v>
      </c>
      <c r="P11" s="54" t="b">
        <f t="shared" si="10"/>
        <v>0</v>
      </c>
      <c r="Q11" s="48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30" t="b">
        <f t="shared" si="7"/>
        <v>0</v>
      </c>
      <c r="L12" s="55" t="b">
        <f t="shared" si="0"/>
        <v>1</v>
      </c>
      <c r="M12" s="56" t="b">
        <f t="shared" si="1"/>
        <v>1</v>
      </c>
      <c r="N12" s="56">
        <f t="shared" si="8"/>
        <v>1</v>
      </c>
      <c r="O12" s="56" t="b">
        <f t="shared" si="9"/>
        <v>1</v>
      </c>
      <c r="P12" s="16" t="b">
        <f t="shared" si="10"/>
        <v>1</v>
      </c>
      <c r="Q12" s="48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Normal="100" workbookViewId="0">
      <selection activeCell="S6" sqref="S6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zoomScaleNormal="100" workbookViewId="0">
      <selection activeCell="X14" sqref="X14"/>
    </sheetView>
  </sheetViews>
  <sheetFormatPr defaultRowHeight="14.4" x14ac:dyDescent="0.3"/>
  <cols>
    <col min="1" max="1" width="17.77734375" bestFit="1" customWidth="1"/>
    <col min="2" max="2" width="18" hidden="1" customWidth="1"/>
    <col min="3" max="3" width="23" hidden="1" customWidth="1"/>
    <col min="4" max="4" width="11.5546875" hidden="1" customWidth="1"/>
    <col min="5" max="5" width="39.6640625" hidden="1" customWidth="1"/>
    <col min="6" max="6" width="15.109375" hidden="1" customWidth="1"/>
    <col min="7" max="7" width="19.5546875" hidden="1" customWidth="1"/>
    <col min="8" max="8" width="14.6640625" bestFit="1" customWidth="1"/>
    <col min="9" max="9" width="20.21875" hidden="1" customWidth="1"/>
    <col min="10" max="10" width="70" hidden="1" customWidth="1"/>
    <col min="11" max="11" width="11.5546875" bestFit="1" customWidth="1"/>
    <col min="12" max="12" width="14.88671875" bestFit="1" customWidth="1"/>
    <col min="13" max="13" width="11.109375" bestFit="1" customWidth="1"/>
    <col min="14" max="14" width="7.109375" bestFit="1" customWidth="1"/>
    <col min="15" max="15" width="6" bestFit="1" customWidth="1"/>
    <col min="16" max="16" width="11.109375" bestFit="1" customWidth="1"/>
    <col min="17" max="17" width="10.109375" bestFit="1" customWidth="1"/>
    <col min="18" max="18" width="9.88671875" bestFit="1" customWidth="1"/>
  </cols>
  <sheetData>
    <row r="1" spans="1:18" x14ac:dyDescent="0.3">
      <c r="A1" s="58" t="s">
        <v>46</v>
      </c>
      <c r="B1" s="58" t="s">
        <v>47</v>
      </c>
      <c r="C1" s="58" t="s">
        <v>48</v>
      </c>
      <c r="D1" s="58" t="s">
        <v>49</v>
      </c>
      <c r="E1" s="58" t="s">
        <v>50</v>
      </c>
      <c r="F1" s="58" t="s">
        <v>51</v>
      </c>
      <c r="G1" s="58" t="s">
        <v>52</v>
      </c>
      <c r="H1" s="58" t="s">
        <v>53</v>
      </c>
      <c r="I1" s="58" t="s">
        <v>54</v>
      </c>
      <c r="J1" s="58" t="s">
        <v>55</v>
      </c>
      <c r="K1" s="58" t="s">
        <v>2</v>
      </c>
      <c r="L1" s="58" t="s">
        <v>123</v>
      </c>
      <c r="M1" s="58" t="s">
        <v>136</v>
      </c>
      <c r="N1" s="58" t="s">
        <v>141</v>
      </c>
      <c r="O1" s="58" t="s">
        <v>142</v>
      </c>
      <c r="P1" s="58" t="s">
        <v>136</v>
      </c>
      <c r="Q1" s="58">
        <v>85000</v>
      </c>
      <c r="R1" s="58" t="s">
        <v>143</v>
      </c>
    </row>
    <row r="2" spans="1:18" x14ac:dyDescent="0.3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IF($A2=K$1, "Role Desired", "NOT Desired")</f>
        <v>NOT Desired</v>
      </c>
      <c r="L2" t="str">
        <f>IF($A2=L$1, "Role Desired", "NOT Desired")</f>
        <v>NOT Desired</v>
      </c>
      <c r="M2" t="str">
        <f>IF($A2=K$1, "Role Desired", IF($A2=L$1, "Role Desired", "NOT Desired"))</f>
        <v>NOT Desired</v>
      </c>
      <c r="N2" t="b">
        <f>AND($A2=$K$1,$A2=$L$1)</f>
        <v>0</v>
      </c>
      <c r="O2" t="b">
        <f>OR($A2=$K$1,$A2=$L$1)</f>
        <v>0</v>
      </c>
      <c r="P2" s="57" t="str">
        <f>IF(OR($A2=$K$1,$A2=$L$1), "Role Desired", "NOT Desired")</f>
        <v>NOT Desired</v>
      </c>
      <c r="Q2" s="57" t="str">
        <f>IF($H2&gt;$Q$1, "Salary&gt;85K", "Salary LOW")</f>
        <v>Salary&gt;85K</v>
      </c>
      <c r="R2" s="57" t="str">
        <f>_xlfn.IFS($H2="","No Data", $H2&gt;=$Q$1, "Salary&gt;85K", TRUE, "Salary Low")</f>
        <v>Salary&gt;85K</v>
      </c>
    </row>
    <row r="3" spans="1:18" x14ac:dyDescent="0.3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IF($A3=K$1, "Role Desired", "NOT Desired")</f>
        <v>Role Desired</v>
      </c>
      <c r="L3" t="str">
        <f t="shared" ref="K3:L21" si="1">IF($A3=L$1, "Role Desired", "NOT Desired")</f>
        <v>NOT Desired</v>
      </c>
      <c r="M3" t="str">
        <f t="shared" ref="M3:M21" si="2">IF($A3=K$1, "Role Desired", IF($A3=L$1, "Role Desired", "NOT Desired"))</f>
        <v>Role Desired</v>
      </c>
      <c r="N3" t="b">
        <f t="shared" ref="N3:N21" si="3">AND($A3=$K$1,$A3=$L$1)</f>
        <v>0</v>
      </c>
      <c r="O3" t="b">
        <f t="shared" ref="O3:O21" si="4">OR($A3=$K$1,$A3=$L$1)</f>
        <v>1</v>
      </c>
      <c r="P3" s="57" t="str">
        <f t="shared" ref="P3:P21" si="5">IF(OR($A3=$K$1,$A3=$L$1), "Role Desired", "NOT Desired")</f>
        <v>Role Desired</v>
      </c>
      <c r="Q3" s="57" t="str">
        <f t="shared" ref="Q3:Q21" si="6">IF($H3&gt;$Q$1, "Salary&gt;85K", "Salary LOW")</f>
        <v>Salary LOW</v>
      </c>
      <c r="R3" s="57" t="str">
        <f t="shared" ref="R3:R21" si="7">_xlfn.IFS($H3="","No Data", $H3&gt;=$Q$1, "Salary&gt;85K", TRUE, "Salary Low")</f>
        <v>Salary Low</v>
      </c>
    </row>
    <row r="4" spans="1:18" x14ac:dyDescent="0.3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s="57" t="str">
        <f t="shared" si="5"/>
        <v>Role Desired</v>
      </c>
      <c r="Q4" s="57" t="str">
        <f t="shared" si="6"/>
        <v>Salary LOW</v>
      </c>
      <c r="R4" s="57" t="str">
        <f t="shared" si="7"/>
        <v>No Data</v>
      </c>
    </row>
    <row r="5" spans="1:18" x14ac:dyDescent="0.3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s="57" t="str">
        <f t="shared" si="5"/>
        <v>NOT Desired</v>
      </c>
      <c r="Q5" s="57" t="str">
        <f t="shared" si="6"/>
        <v>Salary LOW</v>
      </c>
      <c r="R5" s="57" t="str">
        <f t="shared" si="7"/>
        <v>No Data</v>
      </c>
    </row>
    <row r="6" spans="1:18" x14ac:dyDescent="0.3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s="57" t="str">
        <f t="shared" si="5"/>
        <v>NOT Desired</v>
      </c>
      <c r="Q6" s="57" t="str">
        <f t="shared" si="6"/>
        <v>Salary LOW</v>
      </c>
      <c r="R6" s="57" t="str">
        <f t="shared" si="7"/>
        <v>No Data</v>
      </c>
    </row>
    <row r="7" spans="1:18" x14ac:dyDescent="0.3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s="57" t="str">
        <f t="shared" si="5"/>
        <v>NOT Desired</v>
      </c>
      <c r="Q7" s="57" t="str">
        <f t="shared" si="6"/>
        <v>Salary LOW</v>
      </c>
      <c r="R7" s="57" t="str">
        <f t="shared" si="7"/>
        <v>No Data</v>
      </c>
    </row>
    <row r="8" spans="1:18" x14ac:dyDescent="0.3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s="57" t="str">
        <f t="shared" si="5"/>
        <v>Role Desired</v>
      </c>
      <c r="Q8" s="57" t="str">
        <f t="shared" si="6"/>
        <v>Salary LOW</v>
      </c>
      <c r="R8" s="57" t="str">
        <f t="shared" si="7"/>
        <v>No Data</v>
      </c>
    </row>
    <row r="9" spans="1:18" x14ac:dyDescent="0.3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s="57" t="str">
        <f t="shared" si="5"/>
        <v>Role Desired</v>
      </c>
      <c r="Q9" s="57" t="str">
        <f t="shared" si="6"/>
        <v>Salary&gt;85K</v>
      </c>
      <c r="R9" s="57" t="str">
        <f t="shared" si="7"/>
        <v>Salary&gt;85K</v>
      </c>
    </row>
    <row r="10" spans="1:18" x14ac:dyDescent="0.3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s="57" t="str">
        <f t="shared" si="5"/>
        <v>Role Desired</v>
      </c>
      <c r="Q10" s="57" t="str">
        <f t="shared" si="6"/>
        <v>Salary LOW</v>
      </c>
      <c r="R10" s="57" t="str">
        <f t="shared" si="7"/>
        <v>No Data</v>
      </c>
    </row>
    <row r="11" spans="1:18" x14ac:dyDescent="0.3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s="57" t="str">
        <f t="shared" si="5"/>
        <v>Role Desired</v>
      </c>
      <c r="Q11" s="57" t="str">
        <f t="shared" si="6"/>
        <v>Salary&gt;85K</v>
      </c>
      <c r="R11" s="57" t="str">
        <f t="shared" si="7"/>
        <v>Salary&gt;85K</v>
      </c>
    </row>
    <row r="12" spans="1:18" x14ac:dyDescent="0.3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s="57" t="str">
        <f t="shared" si="5"/>
        <v>NOT Desired</v>
      </c>
      <c r="Q12" s="57" t="str">
        <f t="shared" si="6"/>
        <v>Salary&gt;85K</v>
      </c>
      <c r="R12" s="57" t="str">
        <f t="shared" si="7"/>
        <v>Salary&gt;85K</v>
      </c>
    </row>
    <row r="13" spans="1:18" x14ac:dyDescent="0.3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s="57" t="str">
        <f t="shared" si="5"/>
        <v>NOT Desired</v>
      </c>
      <c r="Q13" s="57" t="str">
        <f t="shared" si="6"/>
        <v>Salary&gt;85K</v>
      </c>
      <c r="R13" s="57" t="str">
        <f t="shared" si="7"/>
        <v>Salary&gt;85K</v>
      </c>
    </row>
    <row r="14" spans="1:18" x14ac:dyDescent="0.3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s="57" t="str">
        <f t="shared" si="5"/>
        <v>NOT Desired</v>
      </c>
      <c r="Q14" s="57" t="str">
        <f t="shared" si="6"/>
        <v>Salary&gt;85K</v>
      </c>
      <c r="R14" s="57" t="str">
        <f t="shared" si="7"/>
        <v>Salary&gt;85K</v>
      </c>
    </row>
    <row r="15" spans="1:18" x14ac:dyDescent="0.3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s="57" t="str">
        <f t="shared" si="5"/>
        <v>NOT Desired</v>
      </c>
      <c r="Q15" s="57" t="str">
        <f t="shared" si="6"/>
        <v>Salary LOW</v>
      </c>
      <c r="R15" s="57" t="str">
        <f t="shared" si="7"/>
        <v>Salary Low</v>
      </c>
    </row>
    <row r="16" spans="1:18" x14ac:dyDescent="0.3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s="57" t="str">
        <f t="shared" si="5"/>
        <v>NOT Desired</v>
      </c>
      <c r="Q16" s="57" t="str">
        <f t="shared" si="6"/>
        <v>Salary&gt;85K</v>
      </c>
      <c r="R16" s="57" t="str">
        <f t="shared" si="7"/>
        <v>Salary&gt;85K</v>
      </c>
    </row>
    <row r="17" spans="1:18" x14ac:dyDescent="0.3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s="57" t="str">
        <f t="shared" si="5"/>
        <v>NOT Desired</v>
      </c>
      <c r="Q17" s="57" t="str">
        <f t="shared" si="6"/>
        <v>Salary&gt;85K</v>
      </c>
      <c r="R17" s="57" t="str">
        <f t="shared" si="7"/>
        <v>Salary&gt;85K</v>
      </c>
    </row>
    <row r="18" spans="1:18" x14ac:dyDescent="0.3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s="57" t="str">
        <f t="shared" si="5"/>
        <v>Role Desired</v>
      </c>
      <c r="Q18" s="57" t="str">
        <f t="shared" si="6"/>
        <v>Salary LOW</v>
      </c>
      <c r="R18" s="57" t="str">
        <f t="shared" si="7"/>
        <v>No Data</v>
      </c>
    </row>
    <row r="19" spans="1:18" x14ac:dyDescent="0.3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s="57" t="str">
        <f t="shared" si="5"/>
        <v>NOT Desired</v>
      </c>
      <c r="Q19" s="57" t="str">
        <f t="shared" si="6"/>
        <v>Salary&gt;85K</v>
      </c>
      <c r="R19" s="57" t="str">
        <f t="shared" si="7"/>
        <v>Salary&gt;85K</v>
      </c>
    </row>
    <row r="20" spans="1:18" x14ac:dyDescent="0.3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s="57" t="str">
        <f t="shared" si="5"/>
        <v>NOT Desired</v>
      </c>
      <c r="Q20" s="57" t="str">
        <f t="shared" si="6"/>
        <v>Salary LOW</v>
      </c>
      <c r="R20" s="57" t="str">
        <f t="shared" si="7"/>
        <v>No Data</v>
      </c>
    </row>
    <row r="21" spans="1:18" x14ac:dyDescent="0.3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s="57" t="str">
        <f t="shared" si="5"/>
        <v>Role Desired</v>
      </c>
      <c r="Q21" s="57" t="str">
        <f t="shared" si="6"/>
        <v>Salary&gt;85K</v>
      </c>
      <c r="R21" s="57" t="str">
        <f t="shared" si="7"/>
        <v>Salary&gt;85K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>
      <selection activeCell="R2" sqref="R2"/>
    </sheetView>
  </sheetViews>
  <sheetFormatPr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5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6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6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6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6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6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6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6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6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6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6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6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6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6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6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6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6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6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6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6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6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3" t="s">
        <v>139</v>
      </c>
      <c r="F2" s="43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workbookViewId="0">
      <selection activeCell="H5" sqref="H5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4" t="s">
        <v>141</v>
      </c>
      <c r="E2" s="44" t="s">
        <v>142</v>
      </c>
    </row>
    <row r="3" spans="2:5" x14ac:dyDescent="0.3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35">
      <c r="B6" s="40" t="b">
        <v>0</v>
      </c>
      <c r="C6" s="41" t="b">
        <v>0</v>
      </c>
      <c r="D6" s="42" t="b">
        <f t="shared" si="0"/>
        <v>0</v>
      </c>
      <c r="E6" s="42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Adam Khumaini Yussaini</cp:lastModifiedBy>
  <dcterms:created xsi:type="dcterms:W3CDTF">2024-07-16T20:11:02Z</dcterms:created>
  <dcterms:modified xsi:type="dcterms:W3CDTF">2025-10-28T06:49:09Z</dcterms:modified>
</cp:coreProperties>
</file>