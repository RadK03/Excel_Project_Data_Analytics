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2_Formulas_Functions/"/>
    </mc:Choice>
  </mc:AlternateContent>
  <xr:revisionPtr revIDLastSave="0" documentId="13_ncr:1_{FA1C9D40-E105-457B-92F1-8469DE0112C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T4" i="8"/>
  <c r="U4" i="8"/>
  <c r="V4" i="8"/>
  <c r="T5" i="8"/>
  <c r="X5" i="8" s="1"/>
  <c r="U5" i="8"/>
  <c r="V5" i="8"/>
  <c r="T6" i="8"/>
  <c r="X6" i="8" s="1"/>
  <c r="U6" i="8"/>
  <c r="V6" i="8"/>
  <c r="T7" i="8"/>
  <c r="X7" i="8" s="1"/>
  <c r="U7" i="8"/>
  <c r="V7" i="8"/>
  <c r="T8" i="8"/>
  <c r="U8" i="8"/>
  <c r="X8" i="8" s="1"/>
  <c r="V8" i="8"/>
  <c r="T9" i="8"/>
  <c r="X9" i="8" s="1"/>
  <c r="U9" i="8"/>
  <c r="V9" i="8"/>
  <c r="T10" i="8"/>
  <c r="X10" i="8" s="1"/>
  <c r="U10" i="8"/>
  <c r="V10" i="8"/>
  <c r="T11" i="8"/>
  <c r="X11" i="8" s="1"/>
  <c r="U11" i="8"/>
  <c r="V11" i="8"/>
  <c r="T12" i="8"/>
  <c r="U12" i="8"/>
  <c r="V12" i="8"/>
  <c r="T13" i="8"/>
  <c r="X13" i="8" s="1"/>
  <c r="U13" i="8"/>
  <c r="V13" i="8"/>
  <c r="T14" i="8"/>
  <c r="X14" i="8" s="1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X3" i="8"/>
  <c r="X4" i="8"/>
  <c r="X12" i="8"/>
  <c r="X15" i="8"/>
  <c r="X16" i="8"/>
  <c r="X17" i="8"/>
  <c r="X18" i="8"/>
  <c r="X19" i="8"/>
  <c r="X20" i="8"/>
  <c r="X21" i="8"/>
  <c r="X2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3" i="8" l="1"/>
  <c r="R10" i="8"/>
  <c r="R9" i="8"/>
  <c r="R8" i="8"/>
  <c r="R21" i="8"/>
  <c r="R20" i="8"/>
  <c r="R19" i="8"/>
  <c r="R7" i="8"/>
  <c r="R6" i="8"/>
  <c r="R5" i="8"/>
  <c r="R12" i="8"/>
  <c r="R17" i="8"/>
  <c r="R16" i="8"/>
  <c r="R4" i="8"/>
  <c r="R14" i="8"/>
  <c r="R11" i="8"/>
  <c r="R18" i="8"/>
  <c r="R15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<sst xmlns="http://schemas.openxmlformats.org/spreadsheetml/2006/main" count="470" uniqueCount="96">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</sst>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0" fillId="4" borderId="0" xfId="0" applyFill="1"/>
    <xf numFmtId="14" fontId="0" fillId="4" borderId="0" xfId="0" applyNumberFormat="1" applyFill="1"/>
    <xf numFmtId="18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7-43E7-B179-36877E42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1116720"/>
        <c:axId val="1721123440"/>
      </c:barChart>
      <c:catAx>
        <c:axId val="172111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123440"/>
        <c:crosses val="autoZero"/>
        <c:auto val="1"/>
        <c:lblAlgn val="ctr"/>
        <c:lblOffset val="100"/>
        <c:noMultiLvlLbl val="0"/>
      </c:catAx>
      <c:valAx>
        <c:axId val="17211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11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605790</xdr:colOff>
      <xdr:row>1</xdr:row>
      <xdr:rowOff>160020</xdr:rowOff>
    </xdr:from>
    <xdr:to>
      <xdr:col>37</xdr:col>
      <xdr:colOff>396240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736C6-EF8A-2532-DC13-FB6FB2F8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workbookViewId="0">
      <pane xSplit="8" topLeftCell="X1" activePane="topRight" state="frozen"/>
      <selection pane="topRight" activeCell="S3" sqref="S3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1.6640625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5.6640625" customWidth="1"/>
    <col min="15" max="15" width="8.88671875" customWidth="1"/>
    <col min="16" max="16" width="9.5546875" bestFit="1" customWidth="1"/>
    <col min="17" max="17" width="8.88671875" customWidth="1"/>
    <col min="18" max="18" width="17" customWidth="1"/>
    <col min="19" max="23" width="8.88671875" customWidth="1"/>
    <col min="24" max="24" width="17.33203125" customWidth="1"/>
    <col min="25" max="25" width="17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 s="18">
        <f>MONTH(D2)</f>
        <v>2</v>
      </c>
      <c r="K2" s="18">
        <f>DAY(D2)</f>
        <v>14</v>
      </c>
      <c r="L2" s="18">
        <f>YEAR(D2)</f>
        <v>2023</v>
      </c>
      <c r="M2" s="18"/>
      <c r="N2" s="19">
        <f>DATE(L2,J2,K2)</f>
        <v>44971</v>
      </c>
      <c r="P2" s="19">
        <f ca="1">TODAY()</f>
        <v>45974</v>
      </c>
      <c r="R2" s="18">
        <f ca="1">DATEDIF(N2,$P$2,"D")</f>
        <v>1003</v>
      </c>
      <c r="T2" s="18">
        <f>HOUR(D2)</f>
        <v>15</v>
      </c>
      <c r="U2" s="18">
        <f>MINUTE(D2)</f>
        <v>22</v>
      </c>
      <c r="V2" s="18">
        <f>SECOND(D2)</f>
        <v>15</v>
      </c>
      <c r="X2" s="20">
        <f>TIME(T2,U2,V2)</f>
        <v>0.64045138888888886</v>
      </c>
      <c r="Y2" s="21" t="str">
        <f>TEXT(D2, "HH:MM AM/PM")</f>
        <v>03:22 PM</v>
      </c>
      <c r="AA2" s="18" cm="1">
        <f t="array" ref="AA2:AA25">_xlfn.SEQUENCE(24,,1)</f>
        <v>1</v>
      </c>
      <c r="AB2" s="18">
        <f>COUNTIF($T$2:$T$21,AA2)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 s="18">
        <f t="shared" ref="J3:J21" si="0">MONTH(D3)</f>
        <v>5</v>
      </c>
      <c r="K3" s="18">
        <f t="shared" ref="K3:K21" si="1">DAY(D3)</f>
        <v>9</v>
      </c>
      <c r="L3" s="18">
        <f t="shared" ref="L3:L21" si="2">YEAR(D3)</f>
        <v>2023</v>
      </c>
      <c r="M3" s="18"/>
      <c r="N3" s="19">
        <f t="shared" ref="N3:N21" si="3">DATE(L3,J3,K3)</f>
        <v>45055</v>
      </c>
      <c r="R3" s="18">
        <f t="shared" ref="R3:R21" ca="1" si="4">DATEDIF(N3,$P$2,"D")</f>
        <v>919</v>
      </c>
      <c r="T3" s="18">
        <f t="shared" ref="T3:T21" si="5">HOUR(D3)</f>
        <v>9</v>
      </c>
      <c r="U3" s="18">
        <f t="shared" ref="U3:U21" si="6">MINUTE(D3)</f>
        <v>45</v>
      </c>
      <c r="V3" s="18">
        <f t="shared" ref="V3:V21" si="7">SECOND(D3)</f>
        <v>32</v>
      </c>
      <c r="X3" s="20">
        <f t="shared" ref="X3:X21" si="8">TIME(T3,U3,V3)</f>
        <v>0.40662037037037035</v>
      </c>
      <c r="Y3" s="21" t="str">
        <f t="shared" ref="Y3:Y21" si="9">TEXT(D3, "HH:MM AM/PM")</f>
        <v>09:45 AM</v>
      </c>
      <c r="AA3" s="18">
        <v>2</v>
      </c>
      <c r="AB3" s="18">
        <f t="shared" ref="AB3:AB25" si="10">COUNTIF($T$2:$T$21,AA3)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 s="18">
        <f t="shared" si="0"/>
        <v>7</v>
      </c>
      <c r="K4" s="18">
        <f t="shared" si="1"/>
        <v>21</v>
      </c>
      <c r="L4" s="18">
        <f t="shared" si="2"/>
        <v>2023</v>
      </c>
      <c r="M4" s="18"/>
      <c r="N4" s="19">
        <f t="shared" si="3"/>
        <v>45128</v>
      </c>
      <c r="R4" s="18">
        <f t="shared" ca="1" si="4"/>
        <v>846</v>
      </c>
      <c r="T4" s="18">
        <f t="shared" si="5"/>
        <v>17</v>
      </c>
      <c r="U4" s="18">
        <f t="shared" si="6"/>
        <v>30</v>
      </c>
      <c r="V4" s="18">
        <f t="shared" si="7"/>
        <v>47</v>
      </c>
      <c r="X4" s="20">
        <f t="shared" si="8"/>
        <v>0.72971064814814812</v>
      </c>
      <c r="Y4" s="21" t="str">
        <f t="shared" si="9"/>
        <v>05:30 PM</v>
      </c>
      <c r="AA4" s="18">
        <v>3</v>
      </c>
      <c r="AB4" s="18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 s="18">
        <f t="shared" si="0"/>
        <v>9</v>
      </c>
      <c r="K5" s="18">
        <f t="shared" si="1"/>
        <v>4</v>
      </c>
      <c r="L5" s="18">
        <f t="shared" si="2"/>
        <v>2023</v>
      </c>
      <c r="M5" s="18"/>
      <c r="N5" s="19">
        <f t="shared" si="3"/>
        <v>45173</v>
      </c>
      <c r="R5" s="18">
        <f t="shared" ca="1" si="4"/>
        <v>801</v>
      </c>
      <c r="T5" s="18">
        <f t="shared" si="5"/>
        <v>7</v>
      </c>
      <c r="U5" s="18">
        <f t="shared" si="6"/>
        <v>15</v>
      </c>
      <c r="V5" s="18">
        <f t="shared" si="7"/>
        <v>9</v>
      </c>
      <c r="X5" s="20">
        <f t="shared" si="8"/>
        <v>0.3021875</v>
      </c>
      <c r="Y5" s="21" t="str">
        <f t="shared" si="9"/>
        <v>07:15 AM</v>
      </c>
      <c r="AA5" s="18">
        <v>4</v>
      </c>
      <c r="AB5" s="18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 s="18">
        <f t="shared" si="0"/>
        <v>11</v>
      </c>
      <c r="K6" s="18">
        <f t="shared" si="1"/>
        <v>18</v>
      </c>
      <c r="L6" s="18">
        <f t="shared" si="2"/>
        <v>2023</v>
      </c>
      <c r="M6" s="18"/>
      <c r="N6" s="19">
        <f t="shared" si="3"/>
        <v>45248</v>
      </c>
      <c r="R6" s="18">
        <f t="shared" ca="1" si="4"/>
        <v>726</v>
      </c>
      <c r="T6" s="18">
        <f t="shared" si="5"/>
        <v>17</v>
      </c>
      <c r="U6" s="18">
        <f t="shared" si="6"/>
        <v>0</v>
      </c>
      <c r="V6" s="18">
        <f t="shared" si="7"/>
        <v>21</v>
      </c>
      <c r="X6" s="20">
        <f t="shared" si="8"/>
        <v>0.70857638888888885</v>
      </c>
      <c r="Y6" s="21" t="str">
        <f t="shared" si="9"/>
        <v>05:00 PM</v>
      </c>
      <c r="AA6" s="18">
        <v>5</v>
      </c>
      <c r="AB6" s="18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 s="18">
        <f t="shared" si="0"/>
        <v>1</v>
      </c>
      <c r="K7" s="18">
        <f t="shared" si="1"/>
        <v>11</v>
      </c>
      <c r="L7" s="18">
        <f t="shared" si="2"/>
        <v>2024</v>
      </c>
      <c r="M7" s="18"/>
      <c r="N7" s="19">
        <f t="shared" si="3"/>
        <v>45302</v>
      </c>
      <c r="R7" s="18">
        <f t="shared" ca="1" si="4"/>
        <v>672</v>
      </c>
      <c r="T7" s="18">
        <f t="shared" si="5"/>
        <v>12</v>
      </c>
      <c r="U7" s="18">
        <f t="shared" si="6"/>
        <v>45</v>
      </c>
      <c r="V7" s="18">
        <f t="shared" si="7"/>
        <v>58</v>
      </c>
      <c r="X7" s="20">
        <f t="shared" si="8"/>
        <v>0.53192129629629625</v>
      </c>
      <c r="Y7" s="21" t="str">
        <f t="shared" si="9"/>
        <v>12:45 PM</v>
      </c>
      <c r="AA7" s="18">
        <v>6</v>
      </c>
      <c r="AB7" s="18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 s="18">
        <f t="shared" si="0"/>
        <v>3</v>
      </c>
      <c r="K8" s="18">
        <f t="shared" si="1"/>
        <v>3</v>
      </c>
      <c r="L8" s="18">
        <f t="shared" si="2"/>
        <v>2024</v>
      </c>
      <c r="M8" s="18"/>
      <c r="N8" s="19">
        <f t="shared" si="3"/>
        <v>45354</v>
      </c>
      <c r="R8" s="18">
        <f t="shared" ca="1" si="4"/>
        <v>620</v>
      </c>
      <c r="T8" s="18">
        <f t="shared" si="5"/>
        <v>16</v>
      </c>
      <c r="U8" s="18">
        <f t="shared" si="6"/>
        <v>30</v>
      </c>
      <c r="V8" s="18">
        <f t="shared" si="7"/>
        <v>33</v>
      </c>
      <c r="X8" s="20">
        <f t="shared" si="8"/>
        <v>0.68788194444444439</v>
      </c>
      <c r="Y8" s="21" t="str">
        <f t="shared" si="9"/>
        <v>04:30 PM</v>
      </c>
      <c r="AA8" s="18">
        <v>7</v>
      </c>
      <c r="AB8" s="1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 s="18">
        <f t="shared" si="0"/>
        <v>4</v>
      </c>
      <c r="K9" s="18">
        <f t="shared" si="1"/>
        <v>26</v>
      </c>
      <c r="L9" s="18">
        <f t="shared" si="2"/>
        <v>2024</v>
      </c>
      <c r="M9" s="18"/>
      <c r="N9" s="19">
        <f t="shared" si="3"/>
        <v>45408</v>
      </c>
      <c r="R9" s="18">
        <f t="shared" ca="1" si="4"/>
        <v>566</v>
      </c>
      <c r="T9" s="18">
        <f t="shared" si="5"/>
        <v>8</v>
      </c>
      <c r="U9" s="18">
        <f t="shared" si="6"/>
        <v>10</v>
      </c>
      <c r="V9" s="18">
        <f t="shared" si="7"/>
        <v>46</v>
      </c>
      <c r="X9" s="20">
        <f t="shared" si="8"/>
        <v>0.34081018518518519</v>
      </c>
      <c r="Y9" s="21" t="str">
        <f t="shared" si="9"/>
        <v>08:10 AM</v>
      </c>
      <c r="AA9" s="18">
        <v>8</v>
      </c>
      <c r="AB9" s="18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 s="18">
        <f t="shared" si="0"/>
        <v>6</v>
      </c>
      <c r="K10" s="18">
        <f t="shared" si="1"/>
        <v>15</v>
      </c>
      <c r="L10" s="18">
        <f t="shared" si="2"/>
        <v>2024</v>
      </c>
      <c r="M10" s="18"/>
      <c r="N10" s="19">
        <f t="shared" si="3"/>
        <v>45458</v>
      </c>
      <c r="R10" s="18">
        <f t="shared" ca="1" si="4"/>
        <v>516</v>
      </c>
      <c r="T10" s="18">
        <f t="shared" si="5"/>
        <v>17</v>
      </c>
      <c r="U10" s="18">
        <f t="shared" si="6"/>
        <v>50</v>
      </c>
      <c r="V10" s="18">
        <f t="shared" si="7"/>
        <v>24</v>
      </c>
      <c r="X10" s="20">
        <f t="shared" si="8"/>
        <v>0.74333333333333329</v>
      </c>
      <c r="Y10" s="21" t="str">
        <f t="shared" si="9"/>
        <v>05:50 PM</v>
      </c>
      <c r="AA10" s="18">
        <v>9</v>
      </c>
      <c r="AB10" s="18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 s="18">
        <f t="shared" si="0"/>
        <v>7</v>
      </c>
      <c r="K11" s="18">
        <f t="shared" si="1"/>
        <v>7</v>
      </c>
      <c r="L11" s="18">
        <f t="shared" si="2"/>
        <v>2024</v>
      </c>
      <c r="M11" s="18"/>
      <c r="N11" s="19">
        <f t="shared" si="3"/>
        <v>45480</v>
      </c>
      <c r="R11" s="18">
        <f t="shared" ca="1" si="4"/>
        <v>494</v>
      </c>
      <c r="T11" s="18">
        <f t="shared" si="5"/>
        <v>14</v>
      </c>
      <c r="U11" s="18">
        <f t="shared" si="6"/>
        <v>35</v>
      </c>
      <c r="V11" s="18">
        <f t="shared" si="7"/>
        <v>36</v>
      </c>
      <c r="X11" s="20">
        <f t="shared" si="8"/>
        <v>0.60805555555555557</v>
      </c>
      <c r="Y11" s="21" t="str">
        <f t="shared" si="9"/>
        <v>02:35 PM</v>
      </c>
      <c r="AA11" s="18">
        <v>10</v>
      </c>
      <c r="AB11" s="18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 s="18">
        <f t="shared" si="0"/>
        <v>6</v>
      </c>
      <c r="K12" s="18">
        <f t="shared" si="1"/>
        <v>12</v>
      </c>
      <c r="L12" s="18">
        <f t="shared" si="2"/>
        <v>2024</v>
      </c>
      <c r="M12" s="18"/>
      <c r="N12" s="19">
        <f t="shared" si="3"/>
        <v>45455</v>
      </c>
      <c r="R12" s="18">
        <f t="shared" ca="1" si="4"/>
        <v>519</v>
      </c>
      <c r="T12" s="18">
        <f t="shared" si="5"/>
        <v>6</v>
      </c>
      <c r="U12" s="18">
        <f t="shared" si="6"/>
        <v>50</v>
      </c>
      <c r="V12" s="18">
        <f t="shared" si="7"/>
        <v>18</v>
      </c>
      <c r="X12" s="20">
        <f t="shared" si="8"/>
        <v>0.28493055555555558</v>
      </c>
      <c r="Y12" s="21" t="str">
        <f t="shared" si="9"/>
        <v>06:50 AM</v>
      </c>
      <c r="AA12" s="18">
        <v>11</v>
      </c>
      <c r="AB12" s="18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 s="18">
        <f t="shared" si="0"/>
        <v>1</v>
      </c>
      <c r="K13" s="18">
        <f t="shared" si="1"/>
        <v>25</v>
      </c>
      <c r="L13" s="18">
        <f t="shared" si="2"/>
        <v>2023</v>
      </c>
      <c r="M13" s="18"/>
      <c r="N13" s="19">
        <f t="shared" si="3"/>
        <v>44951</v>
      </c>
      <c r="R13" s="18">
        <f t="shared" ca="1" si="4"/>
        <v>1023</v>
      </c>
      <c r="T13" s="18">
        <f t="shared" si="5"/>
        <v>13</v>
      </c>
      <c r="U13" s="18">
        <f t="shared" si="6"/>
        <v>15</v>
      </c>
      <c r="V13" s="18">
        <f t="shared" si="7"/>
        <v>5</v>
      </c>
      <c r="X13" s="20">
        <f t="shared" si="8"/>
        <v>0.55214120370370368</v>
      </c>
      <c r="Y13" s="21" t="str">
        <f t="shared" si="9"/>
        <v>01:15 PM</v>
      </c>
      <c r="AA13" s="18">
        <v>12</v>
      </c>
      <c r="AB13" s="18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 s="18">
        <f t="shared" si="0"/>
        <v>3</v>
      </c>
      <c r="K14" s="18">
        <f t="shared" si="1"/>
        <v>17</v>
      </c>
      <c r="L14" s="18">
        <f t="shared" si="2"/>
        <v>2023</v>
      </c>
      <c r="M14" s="18"/>
      <c r="N14" s="19">
        <f t="shared" si="3"/>
        <v>45002</v>
      </c>
      <c r="R14" s="18">
        <f t="shared" ca="1" si="4"/>
        <v>972</v>
      </c>
      <c r="T14" s="18">
        <f t="shared" si="5"/>
        <v>11</v>
      </c>
      <c r="U14" s="18">
        <f t="shared" si="6"/>
        <v>45</v>
      </c>
      <c r="V14" s="18">
        <f t="shared" si="7"/>
        <v>39</v>
      </c>
      <c r="X14" s="20">
        <f t="shared" si="8"/>
        <v>0.49003472222222222</v>
      </c>
      <c r="Y14" s="21" t="str">
        <f t="shared" si="9"/>
        <v>11:45 AM</v>
      </c>
      <c r="AA14" s="18">
        <v>13</v>
      </c>
      <c r="AB14" s="18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 s="18">
        <f t="shared" si="0"/>
        <v>6</v>
      </c>
      <c r="K15" s="18">
        <f t="shared" si="1"/>
        <v>1</v>
      </c>
      <c r="L15" s="18">
        <f t="shared" si="2"/>
        <v>2023</v>
      </c>
      <c r="M15" s="18"/>
      <c r="N15" s="19">
        <f t="shared" si="3"/>
        <v>45078</v>
      </c>
      <c r="R15" s="18">
        <f t="shared" ca="1" si="4"/>
        <v>896</v>
      </c>
      <c r="T15" s="18">
        <f t="shared" si="5"/>
        <v>10</v>
      </c>
      <c r="U15" s="18">
        <f t="shared" si="6"/>
        <v>0</v>
      </c>
      <c r="V15" s="18">
        <f t="shared" si="7"/>
        <v>51</v>
      </c>
      <c r="X15" s="20">
        <f t="shared" si="8"/>
        <v>0.41725694444444444</v>
      </c>
      <c r="Y15" s="21" t="str">
        <f t="shared" si="9"/>
        <v>10:00 AM</v>
      </c>
      <c r="AA15" s="18">
        <v>14</v>
      </c>
      <c r="AB15" s="18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 s="18">
        <f t="shared" si="0"/>
        <v>8</v>
      </c>
      <c r="K16" s="18">
        <f t="shared" si="1"/>
        <v>30</v>
      </c>
      <c r="L16" s="18">
        <f t="shared" si="2"/>
        <v>2023</v>
      </c>
      <c r="M16" s="18"/>
      <c r="N16" s="19">
        <f t="shared" si="3"/>
        <v>45168</v>
      </c>
      <c r="R16" s="18">
        <f t="shared" ca="1" si="4"/>
        <v>806</v>
      </c>
      <c r="T16" s="18">
        <f t="shared" si="5"/>
        <v>17</v>
      </c>
      <c r="U16" s="18">
        <f t="shared" si="6"/>
        <v>30</v>
      </c>
      <c r="V16" s="18">
        <f t="shared" si="7"/>
        <v>14</v>
      </c>
      <c r="X16" s="20">
        <f t="shared" si="8"/>
        <v>0.72932870370370373</v>
      </c>
      <c r="Y16" s="21" t="str">
        <f t="shared" si="9"/>
        <v>05:30 PM</v>
      </c>
      <c r="AA16" s="18">
        <v>15</v>
      </c>
      <c r="AB16" s="18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 s="18">
        <f t="shared" si="0"/>
        <v>10</v>
      </c>
      <c r="K17" s="18">
        <f t="shared" si="1"/>
        <v>19</v>
      </c>
      <c r="L17" s="18">
        <f t="shared" si="2"/>
        <v>2023</v>
      </c>
      <c r="M17" s="18"/>
      <c r="N17" s="19">
        <f t="shared" si="3"/>
        <v>45218</v>
      </c>
      <c r="R17" s="18">
        <f t="shared" ca="1" si="4"/>
        <v>756</v>
      </c>
      <c r="T17" s="18">
        <f t="shared" si="5"/>
        <v>7</v>
      </c>
      <c r="U17" s="18">
        <f t="shared" si="6"/>
        <v>40</v>
      </c>
      <c r="V17" s="18">
        <f t="shared" si="7"/>
        <v>29</v>
      </c>
      <c r="X17" s="20">
        <f t="shared" si="8"/>
        <v>0.3197800925925926</v>
      </c>
      <c r="Y17" s="21" t="str">
        <f t="shared" si="9"/>
        <v>07:40 AM</v>
      </c>
      <c r="AA17" s="18">
        <v>16</v>
      </c>
      <c r="AB17" s="18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 s="18">
        <f t="shared" si="0"/>
        <v>2</v>
      </c>
      <c r="K18" s="18">
        <f t="shared" si="1"/>
        <v>28</v>
      </c>
      <c r="L18" s="18">
        <f t="shared" si="2"/>
        <v>2024</v>
      </c>
      <c r="M18" s="18"/>
      <c r="N18" s="19">
        <f t="shared" si="3"/>
        <v>45350</v>
      </c>
      <c r="R18" s="18">
        <f t="shared" ca="1" si="4"/>
        <v>624</v>
      </c>
      <c r="T18" s="18">
        <f t="shared" si="5"/>
        <v>17</v>
      </c>
      <c r="U18" s="18">
        <f t="shared" si="6"/>
        <v>15</v>
      </c>
      <c r="V18" s="18">
        <f t="shared" si="7"/>
        <v>42</v>
      </c>
      <c r="X18" s="20">
        <f t="shared" si="8"/>
        <v>0.71923611111111108</v>
      </c>
      <c r="Y18" s="21" t="str">
        <f t="shared" si="9"/>
        <v>05:15 PM</v>
      </c>
      <c r="AA18" s="18">
        <v>17</v>
      </c>
      <c r="AB18" s="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 s="18">
        <f t="shared" si="0"/>
        <v>5</v>
      </c>
      <c r="K19" s="18">
        <f t="shared" si="1"/>
        <v>6</v>
      </c>
      <c r="L19" s="18">
        <f t="shared" si="2"/>
        <v>2024</v>
      </c>
      <c r="M19" s="18"/>
      <c r="N19" s="19">
        <f t="shared" si="3"/>
        <v>45418</v>
      </c>
      <c r="R19" s="18">
        <f t="shared" ca="1" si="4"/>
        <v>556</v>
      </c>
      <c r="T19" s="18">
        <f t="shared" si="5"/>
        <v>17</v>
      </c>
      <c r="U19" s="18">
        <f t="shared" si="6"/>
        <v>25</v>
      </c>
      <c r="V19" s="18">
        <f t="shared" si="7"/>
        <v>57</v>
      </c>
      <c r="X19" s="20">
        <f t="shared" si="8"/>
        <v>0.72635416666666663</v>
      </c>
      <c r="Y19" s="21" t="str">
        <f t="shared" si="9"/>
        <v>05:25 PM</v>
      </c>
      <c r="AA19" s="18">
        <v>18</v>
      </c>
      <c r="AB19" s="18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 s="18">
        <f t="shared" si="0"/>
        <v>7</v>
      </c>
      <c r="K20" s="18">
        <f t="shared" si="1"/>
        <v>23</v>
      </c>
      <c r="L20" s="18">
        <f t="shared" si="2"/>
        <v>2024</v>
      </c>
      <c r="M20" s="18"/>
      <c r="N20" s="19">
        <f t="shared" si="3"/>
        <v>45496</v>
      </c>
      <c r="R20" s="18">
        <f t="shared" ca="1" si="4"/>
        <v>478</v>
      </c>
      <c r="T20" s="18">
        <f t="shared" si="5"/>
        <v>7</v>
      </c>
      <c r="U20" s="18">
        <f t="shared" si="6"/>
        <v>0</v>
      </c>
      <c r="V20" s="18">
        <f t="shared" si="7"/>
        <v>3</v>
      </c>
      <c r="X20" s="20">
        <f t="shared" si="8"/>
        <v>0.29170138888888891</v>
      </c>
      <c r="Y20" s="21" t="str">
        <f t="shared" si="9"/>
        <v>07:00 AM</v>
      </c>
      <c r="AA20" s="18">
        <v>19</v>
      </c>
      <c r="AB20" s="18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 s="18">
        <f t="shared" si="0"/>
        <v>5</v>
      </c>
      <c r="K21" s="18">
        <f t="shared" si="1"/>
        <v>10</v>
      </c>
      <c r="L21" s="18">
        <f t="shared" si="2"/>
        <v>2024</v>
      </c>
      <c r="M21" s="18"/>
      <c r="N21" s="19">
        <f t="shared" si="3"/>
        <v>45422</v>
      </c>
      <c r="R21" s="18">
        <f t="shared" ca="1" si="4"/>
        <v>552</v>
      </c>
      <c r="T21" s="18">
        <f t="shared" si="5"/>
        <v>17</v>
      </c>
      <c r="U21" s="18">
        <f t="shared" si="6"/>
        <v>45</v>
      </c>
      <c r="V21" s="18">
        <f t="shared" si="7"/>
        <v>26</v>
      </c>
      <c r="X21" s="20">
        <f t="shared" si="8"/>
        <v>0.73988425925925927</v>
      </c>
      <c r="Y21" s="21" t="str">
        <f t="shared" si="9"/>
        <v>05:45 PM</v>
      </c>
      <c r="AA21" s="18">
        <v>20</v>
      </c>
      <c r="AB21" s="18">
        <f t="shared" si="10"/>
        <v>0</v>
      </c>
    </row>
    <row r="22" spans="1:28" x14ac:dyDescent="0.3">
      <c r="X22" s="13"/>
      <c r="AA22" s="18">
        <v>21</v>
      </c>
      <c r="AB22" s="18">
        <f t="shared" si="10"/>
        <v>0</v>
      </c>
    </row>
    <row r="23" spans="1:28" x14ac:dyDescent="0.3">
      <c r="X23" s="13"/>
      <c r="AA23" s="18">
        <v>22</v>
      </c>
      <c r="AB23" s="18">
        <f t="shared" si="10"/>
        <v>0</v>
      </c>
    </row>
    <row r="24" spans="1:28" x14ac:dyDescent="0.3">
      <c r="AA24" s="18">
        <v>23</v>
      </c>
      <c r="AB24" s="18">
        <f t="shared" si="10"/>
        <v>0</v>
      </c>
    </row>
    <row r="25" spans="1:28" x14ac:dyDescent="0.3">
      <c r="AA25" s="18">
        <v>24</v>
      </c>
      <c r="AB25" s="18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45974</v>
      </c>
      <c r="R2">
        <f ca="1">DATEDIF(D2,$P$2,"D")</f>
        <v>1003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919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846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801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726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672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620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566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516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494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519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1023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972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896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806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756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624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556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478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J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Adam Khumaini Yussaini</cp:lastModifiedBy>
  <dcterms:created xsi:type="dcterms:W3CDTF">2015-06-05T18:17:20Z</dcterms:created>
  <dcterms:modified xsi:type="dcterms:W3CDTF">2025-11-13T08:26:30Z</dcterms:modified>
</cp:coreProperties>
</file>