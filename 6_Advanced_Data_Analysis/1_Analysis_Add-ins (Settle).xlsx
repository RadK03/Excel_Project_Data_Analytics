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6_Advanced_Data_Analysis/"/>
    </mc:Choice>
  </mc:AlternateContent>
  <xr:revisionPtr revIDLastSave="902" documentId="13_ncr:1_{C309F530-9477-46F8-BC41-B3020D3E60A4}" xr6:coauthVersionLast="47" xr6:coauthVersionMax="47" xr10:uidLastSave="{D2D59270-DCE4-40D7-B56D-B58C54107E27}"/>
  <bookViews>
    <workbookView xWindow="-108" yWindow="-108" windowWidth="23256" windowHeight="13176" firstSheet="2" activeTab="3" xr2:uid="{6C37AC85-509F-4D10-9DB1-F70D16D6FBAB}"/>
  </bookViews>
  <sheets>
    <sheet name="Forecast_Original" sheetId="7" r:id="rId1"/>
    <sheet name="Forecast_Final" sheetId="8" state="hidden" r:id="rId2"/>
    <sheet name="Forecast_Adam" sheetId="16" r:id="rId3"/>
    <sheet name="What-If_Analysis" sheetId="3" r:id="rId4"/>
    <sheet name="Scenario Summary" sheetId="17" r:id="rId5"/>
    <sheet name="Answer Report 2" sheetId="21" r:id="rId6"/>
    <sheet name="Answer Report 1" sheetId="18" r:id="rId7"/>
    <sheet name="Sensitivity Report 1" sheetId="19" r:id="rId8"/>
    <sheet name="Limits Report 1" sheetId="20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'What-If_Analysis'!$C$4:$C$5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</definedName>
    <definedName name="solver_rhs2" localSheetId="3" hidden="1">0.05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8" hidden="1">2</definedName>
    <definedName name="solver_sho" localSheetId="11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640000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C13" i="3"/>
  <c r="C12" i="3"/>
  <c r="C11" i="3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367" i="16"/>
  <c r="C379" i="16"/>
  <c r="C391" i="16"/>
  <c r="C403" i="16"/>
  <c r="C415" i="16"/>
  <c r="C427" i="16"/>
  <c r="C380" i="16"/>
  <c r="C392" i="16"/>
  <c r="C404" i="16"/>
  <c r="C416" i="16"/>
  <c r="C381" i="16"/>
  <c r="C393" i="16"/>
  <c r="C405" i="16"/>
  <c r="C417" i="16"/>
  <c r="C382" i="16"/>
  <c r="C394" i="16"/>
  <c r="C406" i="16"/>
  <c r="C418" i="16"/>
  <c r="C383" i="16"/>
  <c r="C395" i="16"/>
  <c r="C407" i="16"/>
  <c r="C419" i="16"/>
  <c r="C384" i="16"/>
  <c r="C396" i="16"/>
  <c r="C408" i="16"/>
  <c r="C420" i="16"/>
  <c r="C385" i="16"/>
  <c r="C397" i="16"/>
  <c r="C409" i="16"/>
  <c r="C421" i="16"/>
  <c r="C368" i="16"/>
  <c r="C369" i="16"/>
  <c r="C370" i="16"/>
  <c r="C371" i="16"/>
  <c r="C372" i="16"/>
  <c r="C373" i="16"/>
  <c r="C374" i="16"/>
  <c r="C375" i="16"/>
  <c r="C387" i="16"/>
  <c r="C399" i="16"/>
  <c r="C411" i="16"/>
  <c r="C423" i="16"/>
  <c r="C376" i="16"/>
  <c r="C377" i="16"/>
  <c r="C378" i="16"/>
  <c r="C386" i="16"/>
  <c r="C422" i="16"/>
  <c r="C402" i="16"/>
  <c r="C412" i="16"/>
  <c r="C414" i="16"/>
  <c r="C388" i="16"/>
  <c r="C424" i="16"/>
  <c r="C389" i="16"/>
  <c r="C425" i="16"/>
  <c r="C413" i="16"/>
  <c r="C390" i="16"/>
  <c r="C426" i="16"/>
  <c r="C398" i="16"/>
  <c r="C400" i="16"/>
  <c r="C410" i="16"/>
  <c r="C401" i="16"/>
  <c r="C14" i="3" l="1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D401" i="16"/>
  <c r="D413" i="16"/>
  <c r="E412" i="16"/>
  <c r="D376" i="16"/>
  <c r="E374" i="16"/>
  <c r="E368" i="16"/>
  <c r="D408" i="16"/>
  <c r="E383" i="16"/>
  <c r="E405" i="16"/>
  <c r="E380" i="16"/>
  <c r="E367" i="16"/>
  <c r="D410" i="16"/>
  <c r="E425" i="16"/>
  <c r="D402" i="16"/>
  <c r="D423" i="16"/>
  <c r="E373" i="16"/>
  <c r="E421" i="16"/>
  <c r="D396" i="16"/>
  <c r="D418" i="16"/>
  <c r="D393" i="16"/>
  <c r="D427" i="16"/>
  <c r="D372" i="16"/>
  <c r="D415" i="16"/>
  <c r="E410" i="16"/>
  <c r="D425" i="16"/>
  <c r="E402" i="16"/>
  <c r="E423" i="16"/>
  <c r="D373" i="16"/>
  <c r="D421" i="16"/>
  <c r="E396" i="16"/>
  <c r="E418" i="16"/>
  <c r="E393" i="16"/>
  <c r="E427" i="16"/>
  <c r="D409" i="16"/>
  <c r="D381" i="16"/>
  <c r="D400" i="16"/>
  <c r="E389" i="16"/>
  <c r="D422" i="16"/>
  <c r="E411" i="16"/>
  <c r="D384" i="16"/>
  <c r="D406" i="16"/>
  <c r="E400" i="16"/>
  <c r="D389" i="16"/>
  <c r="E422" i="16"/>
  <c r="D411" i="16"/>
  <c r="E372" i="16"/>
  <c r="E409" i="16"/>
  <c r="E384" i="16"/>
  <c r="E406" i="16"/>
  <c r="E381" i="16"/>
  <c r="E415" i="16"/>
  <c r="D398" i="16"/>
  <c r="D424" i="16"/>
  <c r="D386" i="16"/>
  <c r="D399" i="16"/>
  <c r="D371" i="16"/>
  <c r="D397" i="16"/>
  <c r="D419" i="16"/>
  <c r="D394" i="16"/>
  <c r="D416" i="16"/>
  <c r="D403" i="16"/>
  <c r="E398" i="16"/>
  <c r="E424" i="16"/>
  <c r="E386" i="16"/>
  <c r="E399" i="16"/>
  <c r="E371" i="16"/>
  <c r="E397" i="16"/>
  <c r="E419" i="16"/>
  <c r="E394" i="16"/>
  <c r="E416" i="16"/>
  <c r="E403" i="16"/>
  <c r="E378" i="16"/>
  <c r="D385" i="16"/>
  <c r="E404" i="16"/>
  <c r="D390" i="16"/>
  <c r="E420" i="16"/>
  <c r="D392" i="16"/>
  <c r="D426" i="16"/>
  <c r="D388" i="16"/>
  <c r="D378" i="16"/>
  <c r="D387" i="16"/>
  <c r="D370" i="16"/>
  <c r="E385" i="16"/>
  <c r="D407" i="16"/>
  <c r="D382" i="16"/>
  <c r="D404" i="16"/>
  <c r="D391" i="16"/>
  <c r="E388" i="16"/>
  <c r="E370" i="16"/>
  <c r="E382" i="16"/>
  <c r="E377" i="16"/>
  <c r="D375" i="16"/>
  <c r="D395" i="16"/>
  <c r="D379" i="16"/>
  <c r="E426" i="16"/>
  <c r="E387" i="16"/>
  <c r="E407" i="16"/>
  <c r="E391" i="16"/>
  <c r="D414" i="16"/>
  <c r="D369" i="16"/>
  <c r="D417" i="16"/>
  <c r="E390" i="16"/>
  <c r="E414" i="16"/>
  <c r="D377" i="16"/>
  <c r="E375" i="16"/>
  <c r="E369" i="16"/>
  <c r="D420" i="16"/>
  <c r="E395" i="16"/>
  <c r="E417" i="16"/>
  <c r="E392" i="16"/>
  <c r="E379" i="16"/>
  <c r="E401" i="16"/>
  <c r="E413" i="16"/>
  <c r="D412" i="16"/>
  <c r="E376" i="16"/>
  <c r="D374" i="16"/>
  <c r="D368" i="16"/>
  <c r="E408" i="16"/>
  <c r="D383" i="16"/>
  <c r="D405" i="16"/>
  <c r="D380" i="16"/>
  <c r="D367" i="16"/>
</calcChain>
</file>

<file path=xl/sharedStrings.xml><?xml version="1.0" encoding="utf-8"?>
<sst xmlns="http://schemas.openxmlformats.org/spreadsheetml/2006/main" count="287" uniqueCount="92">
  <si>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</si>
  <si>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</si>
  <si>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</si>
  <si>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</si>
  <si>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</si>
  <si>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</si>
  <si>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</si>
  <si>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</si>
  <si>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</si>
  <si>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</si>
  <si>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</si>
  <si>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</si>
  <si>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</si>
  <si>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</si>
  <si>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</si>
  <si>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</si>
  <si>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</si>
  <si>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</si>
  <si>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</si>
  <si>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</si>
  <si>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</si>
  <si>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</si>
  <si>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</si>
  <si>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</si>
  <si>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</si>
  <si>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</si>
  <si>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</si>
  <si>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</si>
  <si>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</si>
  <si>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</si>
  <si>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</si>
  <si>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</si>
  <si>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</si>
  <si>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</si>
  <si>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</si>
  <si>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</si>
  <si>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</si>
  <si>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</si>
  <si>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</si>
  <si>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</si>
  <si>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</si>
  <si>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</si>
  <si>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</si>
  <si>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</si>
  <si>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</si>
  <si>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</si>
  <si>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</si>
  <si>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</si>
  <si>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</si>
  <si>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</si>
  <si>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</si>
  <si>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</si>
  <si>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</si>
  <si>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</si>
  <si>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</si>
  <si>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</si>
  <si>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</si>
  <si>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</si>
  <si>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</si>
  <si>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</si>
  <si>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</si>
  <si>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</si>
  <si>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</si>
  <si>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</si>
  <si>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</si>
  <si>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</si>
  <si>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</si>
  <si>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</si>
  <si>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</si>
  <si>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</si>
  <si>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</si>
  <si>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</si>
  <si>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</si>
  <si>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</si>
  <si>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</si>
  <si>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</si>
  <si>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</si>
  <si>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</si>
  <si>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Adam Khumaini Yussaini on 15/11/2025</t>
  </si>
  <si>
    <t>Report Created: 15/11/2025 4:37:51 PM</t>
  </si>
  <si>
    <t>Solution Time: 0.047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</si>
  <si>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</si>
  <si>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</si>
  <si>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</si>
  <si>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</si>
  <si>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</si>
  <si>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</si>
  <si>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</si>
  <si>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15/11/2025 4:42:10 PM</t>
  </si>
  <si>
    <t>Solution Time: 0.016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</si>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</sst>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70" formatCode="_-[$$-409]* #,##0.0_ ;_-[$$-409]* \-#,##0.0\ ;_-[$$-409]* &quot;-&quot;??_ ;_-@_ "/>
    <numFmt numFmtId="171" formatCode="_-[$$-409]* #,##0_ ;_-[$$-409]* \-#,##0\ ;_-[$$-409]* &quot;-&quot;??_ ;_-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1" xfId="2" applyNumberFormat="1" applyBorder="1"/>
    <xf numFmtId="9" fontId="4" fillId="2" borderId="21" xfId="2" applyNumberFormat="1" applyBorder="1"/>
    <xf numFmtId="166" fontId="4" fillId="2" borderId="22" xfId="2" applyNumberFormat="1" applyBorder="1"/>
    <xf numFmtId="0" fontId="0" fillId="0" borderId="26" xfId="0" applyBorder="1"/>
    <xf numFmtId="0" fontId="7" fillId="0" borderId="25" xfId="0" applyFont="1" applyBorder="1" applyAlignment="1">
      <alignment horizontal="center"/>
    </xf>
    <xf numFmtId="0" fontId="0" fillId="0" borderId="27" xfId="0" applyBorder="1"/>
    <xf numFmtId="165" fontId="0" fillId="0" borderId="26" xfId="0" applyNumberFormat="1" applyBorder="1"/>
    <xf numFmtId="9" fontId="0" fillId="0" borderId="27" xfId="0" applyNumberFormat="1" applyBorder="1"/>
    <xf numFmtId="166" fontId="0" fillId="0" borderId="26" xfId="0" applyNumberFormat="1" applyBorder="1"/>
    <xf numFmtId="165" fontId="0" fillId="0" borderId="27" xfId="0" applyNumberForma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8" xfId="0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9" fontId="0" fillId="0" borderId="29" xfId="0" applyNumberFormat="1" applyBorder="1" applyAlignment="1">
      <alignment vertical="center" wrapText="1"/>
    </xf>
    <xf numFmtId="166" fontId="0" fillId="0" borderId="30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1" xfId="0" applyFont="1" applyBorder="1"/>
    <xf numFmtId="9" fontId="10" fillId="0" borderId="31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6" xfId="0" applyFill="1" applyBorder="1" applyAlignment="1"/>
    <xf numFmtId="0" fontId="7" fillId="0" borderId="25" xfId="0" applyFont="1" applyFill="1" applyBorder="1" applyAlignment="1">
      <alignment horizontal="center"/>
    </xf>
    <xf numFmtId="0" fontId="0" fillId="0" borderId="27" xfId="0" applyFill="1" applyBorder="1" applyAlignment="1"/>
    <xf numFmtId="9" fontId="0" fillId="0" borderId="27" xfId="0" applyNumberFormat="1" applyFill="1" applyBorder="1" applyAlignment="1"/>
    <xf numFmtId="166" fontId="0" fillId="0" borderId="26" xfId="0" applyNumberFormat="1" applyFill="1" applyBorder="1" applyAlignment="1"/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170" fontId="0" fillId="0" borderId="26" xfId="0" applyNumberFormat="1" applyFill="1" applyBorder="1" applyAlignment="1"/>
    <xf numFmtId="171" fontId="0" fillId="0" borderId="26" xfId="0" applyNumberFormat="1" applyFill="1" applyBorder="1" applyAlignment="1"/>
    <xf numFmtId="165" fontId="0" fillId="0" borderId="27" xfId="1" applyNumberFormat="1" applyFon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Forecast_Adam!$B$1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Forecast_Adam!$B$2:$B$427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B-4F0E-9FF2-D654F40B17E9}"/>
            </c:ext>
          </c:extLst>
        </c:ser>
        <c:ser>
          <c:idx val="1"/>
          <c:order val="1"/>
          <c:tx>
            <c:strRef>
              <c:f>Forecast_Adam!$C$1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Forecast_Adam!$A$2:$A$427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Forecast_Adam!$C$2:$C$427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B-4F0E-9FF2-D654F40B17E9}"/>
            </c:ext>
          </c:extLst>
        </c:ser>
        <c:ser>
          <c:idx val="2"/>
          <c:order val="2"/>
          <c:tx>
            <c:strRef>
              <c:f>Forecast_Adam!$D$1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Forecast_Adam!$A$2:$A$427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Forecast_Adam!$D$2:$D$427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B-4F0E-9FF2-D654F40B17E9}"/>
            </c:ext>
          </c:extLst>
        </c:ser>
        <c:ser>
          <c:idx val="3"/>
          <c:order val="3"/>
          <c:tx>
            <c:strRef>
              <c:f>Forecast_Adam!$E$1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Forecast_Adam!$A$2:$A$427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Forecast_Adam!$E$2:$E$427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DB-4F0E-9FF2-D654F40B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946703"/>
        <c:axId val="1942948623"/>
      </c:lineChart>
      <c:catAx>
        <c:axId val="194294670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48623"/>
        <c:crosses val="autoZero"/>
        <c:auto val="1"/>
        <c:lblAlgn val="ctr"/>
        <c:lblOffset val="100"/>
        <c:noMultiLvlLbl val="0"/>
      </c:catAx>
      <c:valAx>
        <c:axId val="19429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1303020</xdr:colOff>
      <xdr:row>2</xdr:row>
      <xdr:rowOff>45720</xdr:rowOff>
    </xdr:from>
    <xdr:to>
      <xdr:col>10</xdr:col>
      <xdr:colOff>123825</xdr:colOff>
      <xdr:row>22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46472-B4B2-1AAC-B9D3-372161F5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37C0F-9220-483F-9B41-5E3940C82C0D}" name="Table2" displayName="Table2" ref="A1:E427" totalsRowShown="0">
  <autoFilter ref="A1:E427" xr:uid="{8DE37C0F-9220-483F-9B41-5E3940C82C0D}"/>
  <tableColumns count="5">
    <tableColumn id="1" xr3:uid="{E6ECAD07-C843-407C-8F38-E16080D85598}" name="Date" dataDxfId="2"/>
    <tableColumn id="2" xr3:uid="{27D11009-F3DD-4A20-B900-1FF76C83B635}" name="Job Count"/>
    <tableColumn id="3" xr3:uid="{BE5D39B7-1DB9-4707-8367-DEB703901264}" name="Forecast(Job Count)">
      <calculatedColumnFormula>_xlfn.FORECAST.ETS(A2,$B$2:$B$366,$A$2:$A$366,1,1)</calculatedColumnFormula>
    </tableColumn>
    <tableColumn id="4" xr3:uid="{D8EA41AE-B704-4866-840D-F28DF9F34496}" name="Lower Confidence Bound(Job Count)" dataDxfId="1">
      <calculatedColumnFormula>C2-_xlfn.FORECAST.ETS.CONFINT(A2,$B$2:$B$366,$A$2:$A$366,0.95,1,1)</calculatedColumnFormula>
    </tableColumn>
    <tableColumn id="5" xr3:uid="{9BC4CAA8-5553-4064-B311-A7A0AF7F80B4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D6A4-040F-4034-B550-885582B8A682}">
  <dimension ref="A1:E427"/>
  <sheetViews>
    <sheetView workbookViewId="0">
      <selection activeCell="L17" sqref="L17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H11" sqref="H11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4" t="s">
        <v>4</v>
      </c>
      <c r="C2" s="65"/>
      <c r="E2" s="39" t="s">
        <v>30</v>
      </c>
      <c r="F2" s="40" t="s">
        <v>0</v>
      </c>
      <c r="G2" s="40" t="s">
        <v>1</v>
      </c>
      <c r="H2" s="41" t="s">
        <v>2</v>
      </c>
    </row>
    <row r="3" spans="2:8" x14ac:dyDescent="0.3">
      <c r="B3" s="1" t="s">
        <v>0</v>
      </c>
      <c r="C3" s="44">
        <v>100000</v>
      </c>
      <c r="E3" s="42" t="s">
        <v>17</v>
      </c>
      <c r="F3" s="37">
        <v>100000</v>
      </c>
      <c r="G3" s="38">
        <v>0.1</v>
      </c>
      <c r="H3" s="43">
        <v>1.4999999999999999E-2</v>
      </c>
    </row>
    <row r="4" spans="2:8" x14ac:dyDescent="0.3">
      <c r="B4" s="1" t="s">
        <v>1</v>
      </c>
      <c r="C4" s="45">
        <v>0.17283479610661426</v>
      </c>
      <c r="E4" s="42" t="s">
        <v>19</v>
      </c>
      <c r="F4" s="37">
        <v>80000</v>
      </c>
      <c r="G4" s="38">
        <v>0.15</v>
      </c>
      <c r="H4" s="43">
        <v>1.2E-2</v>
      </c>
    </row>
    <row r="5" spans="2:8" ht="15" thickBot="1" x14ac:dyDescent="0.35">
      <c r="B5" s="3" t="s">
        <v>2</v>
      </c>
      <c r="C5" s="46">
        <v>4.3731865887940702E-2</v>
      </c>
      <c r="E5" s="56" t="s">
        <v>21</v>
      </c>
      <c r="F5" s="57">
        <v>120000</v>
      </c>
      <c r="G5" s="58">
        <v>0.05</v>
      </c>
      <c r="H5" s="59">
        <v>8.0000000000000002E-3</v>
      </c>
    </row>
    <row r="6" spans="2:8" ht="16.2" customHeight="1" thickBot="1" x14ac:dyDescent="0.35">
      <c r="E6" s="60" t="s">
        <v>77</v>
      </c>
      <c r="F6" s="61" t="e">
        <f>NA()</f>
        <v>#N/A</v>
      </c>
      <c r="G6" s="62">
        <v>0.25</v>
      </c>
      <c r="H6" s="63">
        <v>0.04</v>
      </c>
    </row>
    <row r="7" spans="2:8" x14ac:dyDescent="0.3">
      <c r="B7" s="64" t="s">
        <v>5</v>
      </c>
      <c r="C7" s="65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2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Adam Khumaini Yussaini" comment="Created by Adam Khumaini Yussaini on 15/11/2025">
      <inputCells r="C3" val="100000" numFmtId="165"/>
      <inputCells r="C4" val="0.1" numFmtId="9"/>
      <inputCells r="C5" val="0.015" numFmtId="166"/>
    </scenario>
    <scenario name="Job 2" locked="1" count="3" user="Adam Khumaini Yussaini" comment="Created by Adam Khumaini Yussaini on 15/11/2025">
      <inputCells r="C3" val="80000" numFmtId="165"/>
      <inputCells r="C4" val="0.15" numFmtId="9"/>
      <inputCells r="C5" val="0.012" numFmtId="166"/>
    </scenario>
    <scenario name="Job 3" locked="1" count="3" user="Adam Khumaini Yussaini" comment="Created by Adam Khumaini Yussaini on 15/11/2025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357D-5C7E-4421-B1D4-F86371A831BE}">
  <sheetPr>
    <outlinePr summaryBelow="0"/>
  </sheetPr>
  <dimension ref="B1:G18"/>
  <sheetViews>
    <sheetView showGridLines="0" workbookViewId="0">
      <selection activeCell="E15" sqref="E15"/>
    </sheetView>
  </sheetViews>
  <sheetFormatPr defaultRowHeight="14.4" outlineLevelRow="1" outlineLevelCol="1" x14ac:dyDescent="0.3"/>
  <cols>
    <col min="3" max="3" width="10.33203125" bestFit="1" customWidth="1"/>
    <col min="4" max="7" width="12.6640625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2.4" hidden="1" outlineLevel="1" x14ac:dyDescent="0.3">
      <c r="B4" s="72"/>
      <c r="C4" s="72"/>
      <c r="D4" s="66"/>
      <c r="E4" s="76" t="s">
        <v>78</v>
      </c>
      <c r="F4" s="76" t="s">
        <v>78</v>
      </c>
      <c r="G4" s="76" t="s">
        <v>78</v>
      </c>
    </row>
    <row r="5" spans="2:7" x14ac:dyDescent="0.3">
      <c r="B5" s="25" t="s">
        <v>23</v>
      </c>
      <c r="C5" s="25"/>
      <c r="D5" s="71"/>
      <c r="E5" s="71"/>
      <c r="F5" s="71"/>
      <c r="G5" s="71"/>
    </row>
    <row r="6" spans="2:7" outlineLevel="1" x14ac:dyDescent="0.3">
      <c r="B6" s="72"/>
      <c r="C6" s="72" t="s">
        <v>14</v>
      </c>
      <c r="D6" s="67">
        <v>100000</v>
      </c>
      <c r="E6" s="73">
        <v>100000</v>
      </c>
      <c r="F6" s="73">
        <v>80000</v>
      </c>
      <c r="G6" s="73">
        <v>120000</v>
      </c>
    </row>
    <row r="7" spans="2:7" outlineLevel="1" x14ac:dyDescent="0.3">
      <c r="B7" s="72"/>
      <c r="C7" s="72" t="s">
        <v>15</v>
      </c>
      <c r="D7" s="68">
        <v>0.1</v>
      </c>
      <c r="E7" s="74">
        <v>0.1</v>
      </c>
      <c r="F7" s="74">
        <v>0.15</v>
      </c>
      <c r="G7" s="74">
        <v>0.05</v>
      </c>
    </row>
    <row r="8" spans="2:7" outlineLevel="1" x14ac:dyDescent="0.3">
      <c r="B8" s="72"/>
      <c r="C8" s="72" t="s">
        <v>16</v>
      </c>
      <c r="D8" s="69">
        <v>1.4999999999999999E-2</v>
      </c>
      <c r="E8" s="75">
        <v>1.4999999999999999E-2</v>
      </c>
      <c r="F8" s="75">
        <v>1.2E-2</v>
      </c>
      <c r="G8" s="75">
        <v>8.0000000000000002E-3</v>
      </c>
    </row>
    <row r="9" spans="2:7" x14ac:dyDescent="0.3">
      <c r="B9" s="25" t="s">
        <v>25</v>
      </c>
      <c r="C9" s="25"/>
      <c r="D9" s="71"/>
      <c r="E9" s="71"/>
      <c r="F9" s="71"/>
      <c r="G9" s="71"/>
    </row>
    <row r="10" spans="2:7" outlineLevel="1" x14ac:dyDescent="0.3">
      <c r="B10" s="72"/>
      <c r="C10" s="72" t="s">
        <v>31</v>
      </c>
      <c r="D10" s="67">
        <v>110000</v>
      </c>
      <c r="E10" s="67">
        <v>110000</v>
      </c>
      <c r="F10" s="67">
        <v>92000</v>
      </c>
      <c r="G10" s="67">
        <v>126000</v>
      </c>
    </row>
    <row r="11" spans="2:7" outlineLevel="1" x14ac:dyDescent="0.3">
      <c r="B11" s="72"/>
      <c r="C11" s="72" t="s">
        <v>36</v>
      </c>
      <c r="D11" s="67">
        <v>111650</v>
      </c>
      <c r="E11" s="67">
        <v>111650</v>
      </c>
      <c r="F11" s="67">
        <v>93104</v>
      </c>
      <c r="G11" s="67">
        <v>127008</v>
      </c>
    </row>
    <row r="12" spans="2:7" outlineLevel="1" x14ac:dyDescent="0.3">
      <c r="B12" s="72"/>
      <c r="C12" s="72" t="s">
        <v>32</v>
      </c>
      <c r="D12" s="67">
        <v>113324.75</v>
      </c>
      <c r="E12" s="67">
        <v>113324.75</v>
      </c>
      <c r="F12" s="67">
        <v>94221.248000000007</v>
      </c>
      <c r="G12" s="67">
        <v>128024.064</v>
      </c>
    </row>
    <row r="13" spans="2:7" outlineLevel="1" x14ac:dyDescent="0.3">
      <c r="B13" s="72"/>
      <c r="C13" s="72" t="s">
        <v>33</v>
      </c>
      <c r="D13" s="67">
        <v>115024.62125</v>
      </c>
      <c r="E13" s="67">
        <v>115024.62125</v>
      </c>
      <c r="F13" s="67">
        <v>95351.902975999998</v>
      </c>
      <c r="G13" s="67">
        <v>129048.25651200001</v>
      </c>
    </row>
    <row r="14" spans="2:7" outlineLevel="1" x14ac:dyDescent="0.3">
      <c r="B14" s="72"/>
      <c r="C14" s="72" t="s">
        <v>34</v>
      </c>
      <c r="D14" s="67">
        <v>116749.99056875</v>
      </c>
      <c r="E14" s="67">
        <v>116749.99056875</v>
      </c>
      <c r="F14" s="67">
        <v>96496.125811712001</v>
      </c>
      <c r="G14" s="67">
        <v>130080.64256409599</v>
      </c>
    </row>
    <row r="15" spans="2:7" ht="15" outlineLevel="1" thickBot="1" x14ac:dyDescent="0.35">
      <c r="B15" s="26"/>
      <c r="C15" s="26" t="s">
        <v>35</v>
      </c>
      <c r="D15" s="70">
        <v>566749.36181875004</v>
      </c>
      <c r="E15" s="70">
        <v>566749.36181875004</v>
      </c>
      <c r="F15" s="70">
        <v>471173.27678771201</v>
      </c>
      <c r="G15" s="70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6A3C-07D0-4241-85CB-AFA5B2C987DA}">
  <dimension ref="A1:G29"/>
  <sheetViews>
    <sheetView showGridLines="0" workbookViewId="0">
      <selection activeCell="D27" sqref="D27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89</v>
      </c>
    </row>
    <row r="8" spans="1:5" hidden="1" outlineLevel="1" x14ac:dyDescent="0.3">
      <c r="A8" s="7"/>
      <c r="B8" t="s">
        <v>81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8" t="s">
        <v>50</v>
      </c>
      <c r="C15" s="78" t="s">
        <v>51</v>
      </c>
      <c r="D15" s="78" t="s">
        <v>52</v>
      </c>
      <c r="E15" s="78" t="s">
        <v>53</v>
      </c>
    </row>
    <row r="16" spans="1:5" ht="15" thickBot="1" x14ac:dyDescent="0.35">
      <c r="B16" s="77" t="s">
        <v>29</v>
      </c>
      <c r="C16" s="77" t="s">
        <v>35</v>
      </c>
      <c r="D16" s="85">
        <v>622877.09440000006</v>
      </c>
      <c r="E16" s="85">
        <v>640000.14523942047</v>
      </c>
    </row>
    <row r="19" spans="1:7" ht="15" thickBot="1" x14ac:dyDescent="0.35">
      <c r="A19" t="s">
        <v>54</v>
      </c>
    </row>
    <row r="20" spans="1:7" ht="15" thickBot="1" x14ac:dyDescent="0.35">
      <c r="B20" s="78" t="s">
        <v>50</v>
      </c>
      <c r="C20" s="78" t="s">
        <v>51</v>
      </c>
      <c r="D20" s="78" t="s">
        <v>52</v>
      </c>
      <c r="E20" s="78" t="s">
        <v>53</v>
      </c>
      <c r="F20" s="78" t="s">
        <v>55</v>
      </c>
    </row>
    <row r="21" spans="1:7" x14ac:dyDescent="0.3">
      <c r="B21" s="79" t="s">
        <v>60</v>
      </c>
      <c r="C21" s="79" t="s">
        <v>15</v>
      </c>
      <c r="D21" s="80">
        <v>0.15</v>
      </c>
      <c r="E21" s="80">
        <v>0.17283479610661426</v>
      </c>
      <c r="F21" s="79" t="s">
        <v>61</v>
      </c>
    </row>
    <row r="22" spans="1:7" ht="15" thickBot="1" x14ac:dyDescent="0.35">
      <c r="B22" s="77" t="s">
        <v>62</v>
      </c>
      <c r="C22" s="77" t="s">
        <v>16</v>
      </c>
      <c r="D22" s="81">
        <v>0.04</v>
      </c>
      <c r="E22" s="81">
        <v>4.3731865887940702E-2</v>
      </c>
      <c r="F22" s="7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8" t="s">
        <v>50</v>
      </c>
      <c r="C26" s="78" t="s">
        <v>51</v>
      </c>
      <c r="D26" s="78" t="s">
        <v>57</v>
      </c>
      <c r="E26" s="78" t="s">
        <v>58</v>
      </c>
      <c r="F26" s="78" t="s">
        <v>59</v>
      </c>
      <c r="G26" s="78" t="s">
        <v>8</v>
      </c>
    </row>
    <row r="27" spans="1:7" x14ac:dyDescent="0.3">
      <c r="B27" s="79" t="s">
        <v>29</v>
      </c>
      <c r="C27" s="79" t="s">
        <v>35</v>
      </c>
      <c r="D27" s="86">
        <v>640000.14523942047</v>
      </c>
      <c r="E27" s="79" t="s">
        <v>63</v>
      </c>
      <c r="F27" s="79" t="s">
        <v>64</v>
      </c>
      <c r="G27" s="79">
        <v>0</v>
      </c>
    </row>
    <row r="28" spans="1:7" x14ac:dyDescent="0.3">
      <c r="B28" s="79" t="s">
        <v>60</v>
      </c>
      <c r="C28" s="79" t="s">
        <v>15</v>
      </c>
      <c r="D28" s="80">
        <v>0.17283479610661426</v>
      </c>
      <c r="E28" s="79" t="s">
        <v>90</v>
      </c>
      <c r="F28" s="79" t="s">
        <v>66</v>
      </c>
      <c r="G28" s="79">
        <v>2.7165203893385753E-2</v>
      </c>
    </row>
    <row r="29" spans="1:7" ht="15" thickBot="1" x14ac:dyDescent="0.35">
      <c r="B29" s="77" t="s">
        <v>62</v>
      </c>
      <c r="C29" s="77" t="s">
        <v>16</v>
      </c>
      <c r="D29" s="81">
        <v>4.3731865887940702E-2</v>
      </c>
      <c r="E29" s="77" t="s">
        <v>91</v>
      </c>
      <c r="F29" s="77" t="s">
        <v>66</v>
      </c>
      <c r="G29" s="77">
        <v>6.2681341120593009E-3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8A13-F03A-4DC4-8B67-84A0AB04172C}">
  <dimension ref="A1:G27"/>
  <sheetViews>
    <sheetView showGridLines="0" workbookViewId="0">
      <selection activeCell="D27" sqref="D27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80</v>
      </c>
    </row>
    <row r="8" spans="1:5" hidden="1" outlineLevel="1" x14ac:dyDescent="0.3">
      <c r="A8" s="7"/>
      <c r="B8" t="s">
        <v>81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8" t="s">
        <v>50</v>
      </c>
      <c r="C15" s="78" t="s">
        <v>51</v>
      </c>
      <c r="D15" s="78" t="s">
        <v>52</v>
      </c>
      <c r="E15" s="78" t="s">
        <v>53</v>
      </c>
    </row>
    <row r="16" spans="1:5" ht="15" thickBot="1" x14ac:dyDescent="0.35">
      <c r="B16" s="77" t="s">
        <v>29</v>
      </c>
      <c r="C16" s="77" t="s">
        <v>35</v>
      </c>
      <c r="D16" s="85">
        <v>566749.36181874992</v>
      </c>
      <c r="E16" s="84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78" t="s">
        <v>50</v>
      </c>
      <c r="C20" s="78" t="s">
        <v>51</v>
      </c>
      <c r="D20" s="78" t="s">
        <v>52</v>
      </c>
      <c r="E20" s="78" t="s">
        <v>53</v>
      </c>
      <c r="F20" s="78" t="s">
        <v>55</v>
      </c>
    </row>
    <row r="21" spans="1:7" x14ac:dyDescent="0.3">
      <c r="B21" s="79" t="s">
        <v>60</v>
      </c>
      <c r="C21" s="79" t="s">
        <v>15</v>
      </c>
      <c r="D21" s="80">
        <v>0.1</v>
      </c>
      <c r="E21" s="80">
        <v>0.226693026881682</v>
      </c>
      <c r="F21" s="79" t="s">
        <v>61</v>
      </c>
    </row>
    <row r="22" spans="1:7" ht="15" thickBot="1" x14ac:dyDescent="0.35">
      <c r="B22" s="77" t="s">
        <v>62</v>
      </c>
      <c r="C22" s="77" t="s">
        <v>16</v>
      </c>
      <c r="D22" s="81">
        <v>1.4999999999999999E-2</v>
      </c>
      <c r="E22" s="81">
        <v>2.1270607913771021E-2</v>
      </c>
      <c r="F22" s="7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8" t="s">
        <v>50</v>
      </c>
      <c r="C26" s="78" t="s">
        <v>51</v>
      </c>
      <c r="D26" s="78" t="s">
        <v>57</v>
      </c>
      <c r="E26" s="78" t="s">
        <v>58</v>
      </c>
      <c r="F26" s="78" t="s">
        <v>59</v>
      </c>
      <c r="G26" s="78" t="s">
        <v>8</v>
      </c>
    </row>
    <row r="27" spans="1:7" ht="15" thickBot="1" x14ac:dyDescent="0.35">
      <c r="B27" s="77" t="s">
        <v>29</v>
      </c>
      <c r="C27" s="77" t="s">
        <v>35</v>
      </c>
      <c r="D27" s="85">
        <v>639999.95106057753</v>
      </c>
      <c r="E27" s="77" t="s">
        <v>63</v>
      </c>
      <c r="F27" s="77" t="s">
        <v>64</v>
      </c>
      <c r="G27" s="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6657-3446-43F2-B1E5-88B43B690518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82</v>
      </c>
    </row>
    <row r="2" spans="1:5" x14ac:dyDescent="0.3">
      <c r="A2" s="7" t="s">
        <v>38</v>
      </c>
    </row>
    <row r="3" spans="1:5" x14ac:dyDescent="0.3">
      <c r="A3" s="7" t="s">
        <v>79</v>
      </c>
    </row>
    <row r="6" spans="1:5" ht="15" thickBot="1" x14ac:dyDescent="0.35">
      <c r="A6" t="s">
        <v>54</v>
      </c>
    </row>
    <row r="7" spans="1:5" x14ac:dyDescent="0.3">
      <c r="B7" s="82"/>
      <c r="C7" s="82"/>
      <c r="D7" s="82" t="s">
        <v>83</v>
      </c>
      <c r="E7" s="82" t="s">
        <v>84</v>
      </c>
    </row>
    <row r="8" spans="1:5" ht="15" thickBot="1" x14ac:dyDescent="0.35">
      <c r="B8" s="83" t="s">
        <v>50</v>
      </c>
      <c r="C8" s="83" t="s">
        <v>51</v>
      </c>
      <c r="D8" s="83" t="s">
        <v>69</v>
      </c>
      <c r="E8" s="83" t="s">
        <v>85</v>
      </c>
    </row>
    <row r="9" spans="1:5" x14ac:dyDescent="0.3">
      <c r="B9" s="79" t="s">
        <v>60</v>
      </c>
      <c r="C9" s="79" t="s">
        <v>15</v>
      </c>
      <c r="D9" s="79">
        <v>0.226693026881682</v>
      </c>
      <c r="E9" s="79">
        <v>0</v>
      </c>
    </row>
    <row r="10" spans="1:5" ht="15" thickBot="1" x14ac:dyDescent="0.35">
      <c r="B10" s="77" t="s">
        <v>62</v>
      </c>
      <c r="C10" s="77" t="s">
        <v>16</v>
      </c>
      <c r="D10" s="77">
        <v>2.1270607913771021E-2</v>
      </c>
      <c r="E10" s="77">
        <v>0</v>
      </c>
    </row>
    <row r="12" spans="1:5" ht="15" thickBot="1" x14ac:dyDescent="0.35">
      <c r="A12" t="s">
        <v>56</v>
      </c>
    </row>
    <row r="13" spans="1:5" x14ac:dyDescent="0.3">
      <c r="B13" s="82"/>
      <c r="C13" s="82"/>
      <c r="D13" s="82" t="s">
        <v>83</v>
      </c>
      <c r="E13" s="82" t="s">
        <v>86</v>
      </c>
    </row>
    <row r="14" spans="1:5" ht="15" thickBot="1" x14ac:dyDescent="0.35">
      <c r="B14" s="83" t="s">
        <v>50</v>
      </c>
      <c r="C14" s="83" t="s">
        <v>51</v>
      </c>
      <c r="D14" s="83" t="s">
        <v>69</v>
      </c>
      <c r="E14" s="83" t="s">
        <v>87</v>
      </c>
    </row>
    <row r="15" spans="1:5" ht="15" thickBot="1" x14ac:dyDescent="0.35">
      <c r="B15" s="77" t="s">
        <v>29</v>
      </c>
      <c r="C15" s="77" t="s">
        <v>35</v>
      </c>
      <c r="D15" s="77">
        <v>639999.95106057753</v>
      </c>
      <c r="E15" s="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A96F-8587-458C-8F01-6235F25991DD}">
  <dimension ref="A1:J14"/>
  <sheetViews>
    <sheetView showGridLines="0" workbookViewId="0">
      <selection activeCell="D8" sqref="D8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.1093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79</v>
      </c>
    </row>
    <row r="5" spans="1:10" ht="15" thickBot="1" x14ac:dyDescent="0.35"/>
    <row r="6" spans="1:10" x14ac:dyDescent="0.3">
      <c r="B6" s="82"/>
      <c r="C6" s="82" t="s">
        <v>71</v>
      </c>
      <c r="D6" s="82"/>
    </row>
    <row r="7" spans="1:10" ht="15" thickBot="1" x14ac:dyDescent="0.35">
      <c r="B7" s="83" t="s">
        <v>50</v>
      </c>
      <c r="C7" s="83" t="s">
        <v>51</v>
      </c>
      <c r="D7" s="83" t="s">
        <v>69</v>
      </c>
    </row>
    <row r="8" spans="1:10" ht="15" thickBot="1" x14ac:dyDescent="0.35">
      <c r="B8" s="77" t="s">
        <v>29</v>
      </c>
      <c r="C8" s="77" t="s">
        <v>35</v>
      </c>
      <c r="D8" s="85">
        <v>639999.95106057753</v>
      </c>
    </row>
    <row r="10" spans="1:10" ht="15" thickBot="1" x14ac:dyDescent="0.35"/>
    <row r="11" spans="1:10" x14ac:dyDescent="0.3">
      <c r="B11" s="82"/>
      <c r="C11" s="82" t="s">
        <v>72</v>
      </c>
      <c r="D11" s="82"/>
      <c r="F11" s="82" t="s">
        <v>73</v>
      </c>
      <c r="G11" s="82" t="s">
        <v>71</v>
      </c>
      <c r="I11" s="82" t="s">
        <v>76</v>
      </c>
      <c r="J11" s="82" t="s">
        <v>71</v>
      </c>
    </row>
    <row r="12" spans="1:10" ht="15" thickBot="1" x14ac:dyDescent="0.35">
      <c r="B12" s="83" t="s">
        <v>50</v>
      </c>
      <c r="C12" s="83" t="s">
        <v>51</v>
      </c>
      <c r="D12" s="83" t="s">
        <v>69</v>
      </c>
      <c r="F12" s="83" t="s">
        <v>74</v>
      </c>
      <c r="G12" s="83" t="s">
        <v>75</v>
      </c>
      <c r="I12" s="83" t="s">
        <v>74</v>
      </c>
      <c r="J12" s="83" t="s">
        <v>75</v>
      </c>
    </row>
    <row r="13" spans="1:10" x14ac:dyDescent="0.3">
      <c r="B13" s="79" t="s">
        <v>60</v>
      </c>
      <c r="C13" s="79" t="s">
        <v>15</v>
      </c>
      <c r="D13" s="80">
        <v>0.226693026881682</v>
      </c>
      <c r="F13" s="80">
        <v>0</v>
      </c>
      <c r="G13" s="80">
        <v>521727.87896862096</v>
      </c>
      <c r="I13" s="79" t="e">
        <v>#N/A</v>
      </c>
      <c r="J13" s="79" t="e">
        <v>#N/A</v>
      </c>
    </row>
    <row r="14" spans="1:10" ht="15" thickBot="1" x14ac:dyDescent="0.35">
      <c r="B14" s="77" t="s">
        <v>62</v>
      </c>
      <c r="C14" s="77" t="s">
        <v>16</v>
      </c>
      <c r="D14" s="81">
        <v>2.1270607913771021E-2</v>
      </c>
      <c r="F14" s="81">
        <v>0</v>
      </c>
      <c r="G14" s="81">
        <v>613346.51344084099</v>
      </c>
      <c r="I14" s="77" t="e">
        <v>#N/A</v>
      </c>
      <c r="J14" s="77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8" t="s">
        <v>50</v>
      </c>
      <c r="C15" s="48" t="s">
        <v>51</v>
      </c>
      <c r="D15" s="48" t="s">
        <v>52</v>
      </c>
      <c r="E15" s="48" t="s">
        <v>53</v>
      </c>
    </row>
    <row r="16" spans="1:5" ht="15" thickBot="1" x14ac:dyDescent="0.35">
      <c r="B16" s="47" t="s">
        <v>29</v>
      </c>
      <c r="C16" s="47" t="s">
        <v>35</v>
      </c>
      <c r="D16" s="50">
        <v>640000.63710000005</v>
      </c>
      <c r="E16" s="50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8" t="s">
        <v>50</v>
      </c>
      <c r="C20" s="48" t="s">
        <v>51</v>
      </c>
      <c r="D20" s="48" t="s">
        <v>52</v>
      </c>
      <c r="E20" s="48" t="s">
        <v>53</v>
      </c>
      <c r="F20" s="48" t="s">
        <v>55</v>
      </c>
    </row>
    <row r="21" spans="1:7" x14ac:dyDescent="0.3">
      <c r="B21" s="49" t="s">
        <v>60</v>
      </c>
      <c r="C21" s="49" t="s">
        <v>15</v>
      </c>
      <c r="D21" s="51">
        <v>0.20547045696368638</v>
      </c>
      <c r="E21" s="51">
        <v>0.20547045696368638</v>
      </c>
      <c r="F21" s="49" t="s">
        <v>61</v>
      </c>
    </row>
    <row r="22" spans="1:7" ht="15" thickBot="1" x14ac:dyDescent="0.35">
      <c r="B22" s="47" t="s">
        <v>62</v>
      </c>
      <c r="C22" s="47" t="s">
        <v>16</v>
      </c>
      <c r="D22" s="52">
        <v>0.03</v>
      </c>
      <c r="E22" s="52">
        <v>0.03</v>
      </c>
      <c r="F22" s="4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8" t="s">
        <v>50</v>
      </c>
      <c r="C26" s="48" t="s">
        <v>51</v>
      </c>
      <c r="D26" s="48" t="s">
        <v>57</v>
      </c>
      <c r="E26" s="48" t="s">
        <v>58</v>
      </c>
      <c r="F26" s="48" t="s">
        <v>59</v>
      </c>
      <c r="G26" s="48" t="s">
        <v>8</v>
      </c>
    </row>
    <row r="27" spans="1:7" x14ac:dyDescent="0.3">
      <c r="B27" s="49" t="s">
        <v>29</v>
      </c>
      <c r="C27" s="49" t="s">
        <v>35</v>
      </c>
      <c r="D27" s="53">
        <v>640000.64</v>
      </c>
      <c r="E27" s="49" t="s">
        <v>63</v>
      </c>
      <c r="F27" s="49" t="s">
        <v>64</v>
      </c>
      <c r="G27" s="49">
        <v>0</v>
      </c>
    </row>
    <row r="28" spans="1:7" x14ac:dyDescent="0.3">
      <c r="B28" s="49" t="s">
        <v>60</v>
      </c>
      <c r="C28" s="49" t="s">
        <v>15</v>
      </c>
      <c r="D28" s="51">
        <v>0.20547045696368638</v>
      </c>
      <c r="E28" s="49" t="s">
        <v>65</v>
      </c>
      <c r="F28" s="49" t="s">
        <v>66</v>
      </c>
      <c r="G28" s="49">
        <v>4.4529543036313624E-2</v>
      </c>
    </row>
    <row r="29" spans="1:7" ht="15" thickBot="1" x14ac:dyDescent="0.35">
      <c r="B29" s="47" t="s">
        <v>62</v>
      </c>
      <c r="C29" s="47" t="s">
        <v>16</v>
      </c>
      <c r="D29" s="52">
        <v>0.03</v>
      </c>
      <c r="E29" s="47" t="s">
        <v>67</v>
      </c>
      <c r="F29" s="47" t="s">
        <v>66</v>
      </c>
      <c r="G29" s="47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4"/>
      <c r="C6" s="54" t="s">
        <v>71</v>
      </c>
      <c r="D6" s="54"/>
    </row>
    <row r="7" spans="1:10" ht="15" thickBot="1" x14ac:dyDescent="0.35">
      <c r="B7" s="55" t="s">
        <v>50</v>
      </c>
      <c r="C7" s="55" t="s">
        <v>51</v>
      </c>
      <c r="D7" s="55" t="s">
        <v>69</v>
      </c>
    </row>
    <row r="8" spans="1:10" ht="15" thickBot="1" x14ac:dyDescent="0.35">
      <c r="B8" s="47" t="s">
        <v>29</v>
      </c>
      <c r="C8" s="47" t="s">
        <v>35</v>
      </c>
      <c r="D8" s="50">
        <v>640000.63710000005</v>
      </c>
    </row>
    <row r="10" spans="1:10" ht="15" thickBot="1" x14ac:dyDescent="0.35"/>
    <row r="11" spans="1:10" x14ac:dyDescent="0.3">
      <c r="B11" s="54"/>
      <c r="C11" s="54" t="s">
        <v>72</v>
      </c>
      <c r="D11" s="54"/>
      <c r="F11" s="54" t="s">
        <v>73</v>
      </c>
      <c r="G11" s="54" t="s">
        <v>71</v>
      </c>
      <c r="I11" s="54" t="s">
        <v>76</v>
      </c>
      <c r="J11" s="54" t="s">
        <v>71</v>
      </c>
    </row>
    <row r="12" spans="1:10" ht="15" thickBot="1" x14ac:dyDescent="0.35">
      <c r="B12" s="55" t="s">
        <v>50</v>
      </c>
      <c r="C12" s="55" t="s">
        <v>51</v>
      </c>
      <c r="D12" s="55" t="s">
        <v>69</v>
      </c>
      <c r="F12" s="55" t="s">
        <v>74</v>
      </c>
      <c r="G12" s="55" t="s">
        <v>75</v>
      </c>
      <c r="I12" s="55" t="s">
        <v>74</v>
      </c>
      <c r="J12" s="55" t="s">
        <v>75</v>
      </c>
    </row>
    <row r="13" spans="1:10" x14ac:dyDescent="0.3">
      <c r="B13" s="49" t="s">
        <v>60</v>
      </c>
      <c r="C13" s="49" t="s">
        <v>15</v>
      </c>
      <c r="D13" s="51">
        <v>0.20547045696368638</v>
      </c>
      <c r="F13" s="51">
        <v>0</v>
      </c>
      <c r="G13" s="51">
        <v>530913.57999999996</v>
      </c>
      <c r="I13" s="51">
        <v>0.25</v>
      </c>
      <c r="J13" s="51">
        <v>663641.98</v>
      </c>
    </row>
    <row r="14" spans="1:10" ht="15" thickBot="1" x14ac:dyDescent="0.35">
      <c r="B14" s="47" t="s">
        <v>62</v>
      </c>
      <c r="C14" s="47" t="s">
        <v>16</v>
      </c>
      <c r="D14" s="52">
        <v>0.03</v>
      </c>
      <c r="F14" s="52">
        <v>0</v>
      </c>
      <c r="G14" s="52">
        <v>602735.23</v>
      </c>
      <c r="I14" s="52">
        <v>0.04</v>
      </c>
      <c r="J14" s="52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Forecast_Original</vt:lpstr>
      <vt:lpstr>Forecast_Final</vt:lpstr>
      <vt:lpstr>Forecast_Adam</vt:lpstr>
      <vt:lpstr>What-If_Analysis</vt:lpstr>
      <vt:lpstr>Scenario Summary</vt:lpstr>
      <vt:lpstr>Answer Report 2</vt:lpstr>
      <vt:lpstr>Answer Report 1</vt:lpstr>
      <vt:lpstr>Sensitivity Report 1</vt:lpstr>
      <vt:lpstr>Limits Report 1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Adam Khumaini Yussaini</cp:lastModifiedBy>
  <dcterms:created xsi:type="dcterms:W3CDTF">2024-08-08T18:34:47Z</dcterms:created>
  <dcterms:modified xsi:type="dcterms:W3CDTF">2025-11-15T08:43:42Z</dcterms:modified>
</cp:coreProperties>
</file>