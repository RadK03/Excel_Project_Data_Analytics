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a280668465d99d/Documents/Project Freelancing/Excel Data Analytics Content/6_Advanced_Data_Analysis/"/>
    </mc:Choice>
  </mc:AlternateContent>
  <xr:revisionPtr revIDLastSave="94" documentId="13_ncr:1_{AF699739-AF38-4398-A5C0-59458B85094B}" xr6:coauthVersionLast="47" xr6:coauthVersionMax="47" xr10:uidLastSave="{90F5CCF8-6575-4BCD-ADD0-76A432FFCEB9}"/>
  <bookViews>
    <workbookView xWindow="-108" yWindow="-108" windowWidth="23256" windowHeight="13176" activeTab="1" xr2:uid="{6C37AC85-509F-4D10-9DB1-F70D16D6FBAB}"/>
  </bookViews>
  <sheets>
    <sheet name="One_Input" sheetId="3" r:id="rId1"/>
    <sheet name="Two_Input" sheetId="4" r:id="rId2"/>
    <sheet name="Data_Table_One-Input" sheetId="1" r:id="rId3"/>
    <sheet name="Data_Table_Two-Input" sheetId="2" r:id="rId4"/>
  </sheets>
  <definedNames>
    <definedName name="base" localSheetId="3">'Data_Table_Two-Input'!$C$3</definedName>
    <definedName name="base" localSheetId="0">One_Input!$C$3</definedName>
    <definedName name="base" localSheetId="1">Two_Input!$C$3</definedName>
    <definedName name="base">'Data_Table_One-Input'!$C$3</definedName>
    <definedName name="bonus" localSheetId="3">'Data_Table_Two-Input'!$C$4</definedName>
    <definedName name="bonus" localSheetId="0">One_Input!$C$4</definedName>
    <definedName name="bonus" localSheetId="1">Two_Input!$C$4</definedName>
    <definedName name="bonus">'Data_Table_One-Input'!$C$4</definedName>
    <definedName name="bonuys" localSheetId="3">'Data_Table_Two-Input'!$C$4</definedName>
    <definedName name="bonuys" localSheetId="0">One_Input!$C$4</definedName>
    <definedName name="bonuys" localSheetId="1">Two_Input!$C$4</definedName>
    <definedName name="bonuys">'Data_Table_One-Input'!$C$4</definedName>
    <definedName name="raise" localSheetId="3">'Data_Table_Two-Input'!$C$5</definedName>
    <definedName name="raise" localSheetId="0">One_Input!$C$5</definedName>
    <definedName name="raise" localSheetId="1">Two_Input!$C$5</definedName>
    <definedName name="raise">'Data_Table_One-Input'!$C$5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F3" i="4"/>
  <c r="C13" i="4"/>
  <c r="C12" i="4"/>
  <c r="C11" i="4"/>
  <c r="C10" i="4"/>
  <c r="C9" i="4"/>
  <c r="C14" i="4" s="1"/>
  <c r="C13" i="3"/>
  <c r="J3" i="3" s="1"/>
  <c r="C12" i="3"/>
  <c r="I3" i="3" s="1"/>
  <c r="C11" i="3"/>
  <c r="H3" i="3" s="1"/>
  <c r="C10" i="3"/>
  <c r="G3" i="3" s="1"/>
  <c r="C9" i="3"/>
  <c r="C13" i="2"/>
  <c r="C12" i="2"/>
  <c r="C11" i="2"/>
  <c r="C10" i="2"/>
  <c r="C9" i="2"/>
  <c r="C10" i="1"/>
  <c r="G3" i="1" s="1"/>
  <c r="C11" i="1"/>
  <c r="H3" i="1" s="1"/>
  <c r="C12" i="1"/>
  <c r="I3" i="1" s="1"/>
  <c r="C13" i="1"/>
  <c r="J3" i="1" s="1"/>
  <c r="C9" i="1"/>
  <c r="F3" i="1" s="1"/>
  <c r="C14" i="3" l="1"/>
  <c r="K3" i="3" s="1"/>
  <c r="F3" i="3"/>
  <c r="C14" i="2"/>
  <c r="E3" i="2" s="1"/>
  <c r="C14" i="1"/>
  <c r="K3" i="1" s="1"/>
</calcChain>
</file>

<file path=xl/sharedStrings.xml><?xml version="1.0" encoding="utf-8"?>
<sst xmlns="http://schemas.openxmlformats.org/spreadsheetml/2006/main" count="50" uniqueCount="14">
  <si>
    <t>Base Salary</t>
  </si>
  <si>
    <t>Bonus</t>
  </si>
  <si>
    <t>Annual Raise</t>
  </si>
  <si>
    <t>Total</t>
  </si>
  <si>
    <t>Year 1</t>
  </si>
  <si>
    <t>Year 2</t>
  </si>
  <si>
    <t>Year 3</t>
  </si>
  <si>
    <t>Year 4</t>
  </si>
  <si>
    <t>Year 0</t>
  </si>
  <si>
    <t>Input Cells</t>
  </si>
  <si>
    <t>Result Cells</t>
  </si>
  <si>
    <t>Year</t>
  </si>
  <si>
    <t>Amount</t>
  </si>
  <si>
    <t xml:space="preserve">Year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</si>
</sst>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41">
    <xf numFmtId="0" fontId="0" fillId="0" borderId="0" xfId="0"/>
    <xf numFmtId="165" fontId="0" fillId="0" borderId="0" xfId="1" applyNumberFormat="1" applyFont="1" applyBorder="1"/>
    <xf numFmtId="165" fontId="0" fillId="0" borderId="1" xfId="1" applyNumberFormat="1" applyFont="1" applyBorder="1"/>
    <xf numFmtId="165" fontId="0" fillId="0" borderId="2" xfId="1" applyNumberFormat="1" applyFont="1" applyBorder="1"/>
    <xf numFmtId="165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5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165" fontId="5" fillId="0" borderId="4" xfId="0" applyNumberFormat="1" applyFont="1" applyBorder="1"/>
    <xf numFmtId="165" fontId="5" fillId="0" borderId="5" xfId="0" applyNumberFormat="1" applyFont="1" applyBorder="1"/>
    <xf numFmtId="165" fontId="5" fillId="0" borderId="6" xfId="0" applyNumberFormat="1" applyFont="1" applyBorder="1"/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6" fontId="2" fillId="0" borderId="7" xfId="0" applyNumberFormat="1" applyFont="1" applyBorder="1"/>
    <xf numFmtId="166" fontId="2" fillId="0" borderId="8" xfId="0" applyNumberFormat="1" applyFont="1" applyBorder="1"/>
    <xf numFmtId="166" fontId="2" fillId="0" borderId="9" xfId="0" applyNumberFormat="1" applyFont="1" applyBorder="1"/>
    <xf numFmtId="9" fontId="6" fillId="0" borderId="4" xfId="2" applyFont="1" applyBorder="1"/>
    <xf numFmtId="9" fontId="6" fillId="0" borderId="5" xfId="2" applyFont="1" applyBorder="1"/>
    <xf numFmtId="9" fontId="6" fillId="0" borderId="6" xfId="2" applyFont="1" applyBorder="1"/>
    <xf numFmtId="0" fontId="8" fillId="0" borderId="0" xfId="0" applyFont="1" applyAlignment="1">
      <alignment horizontal="center"/>
    </xf>
    <xf numFmtId="0" fontId="2" fillId="0" borderId="4" xfId="0" applyFont="1" applyBorder="1"/>
    <xf numFmtId="165" fontId="2" fillId="0" borderId="15" xfId="1" applyNumberFormat="1" applyFont="1" applyBorder="1"/>
    <xf numFmtId="165" fontId="7" fillId="2" borderId="17" xfId="3" applyNumberFormat="1" applyBorder="1"/>
    <xf numFmtId="9" fontId="7" fillId="2" borderId="17" xfId="3" applyNumberFormat="1" applyBorder="1"/>
    <xf numFmtId="166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8" fillId="0" borderId="1" xfId="0" applyFont="1" applyBorder="1" applyAlignment="1">
      <alignment vertical="center" textRotation="90" wrapText="1"/>
    </xf>
    <xf numFmtId="0" fontId="8" fillId="0" borderId="2" xfId="0" applyFont="1" applyBorder="1" applyAlignment="1">
      <alignment horizontal="center"/>
    </xf>
    <xf numFmtId="165" fontId="5" fillId="0" borderId="19" xfId="0" applyNumberFormat="1" applyFont="1" applyBorder="1"/>
    <xf numFmtId="165" fontId="6" fillId="0" borderId="4" xfId="2" applyNumberFormat="1" applyFont="1" applyBorder="1"/>
    <xf numFmtId="165" fontId="6" fillId="0" borderId="5" xfId="2" applyNumberFormat="1" applyFont="1" applyBorder="1"/>
    <xf numFmtId="165" fontId="6" fillId="0" borderId="6" xfId="2" applyNumberFormat="1" applyFont="1" applyBorder="1"/>
    <xf numFmtId="165" fontId="9" fillId="0" borderId="19" xfId="0" applyNumberFormat="1" applyFont="1" applyFill="1" applyBorder="1"/>
    <xf numFmtId="9" fontId="10" fillId="0" borderId="4" xfId="2" applyFont="1" applyBorder="1"/>
    <xf numFmtId="9" fontId="10" fillId="0" borderId="5" xfId="2" applyFont="1" applyBorder="1"/>
    <xf numFmtId="9" fontId="10" fillId="0" borderId="6" xfId="2" applyFont="1" applyBorder="1"/>
    <xf numFmtId="0" fontId="2" fillId="0" borderId="2" xfId="0" applyFont="1" applyBorder="1" applyAlignment="1">
      <alignment horizontal="center"/>
    </xf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zoomScaleNormal="100" workbookViewId="0">
      <selection activeCell="L16" sqref="L16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.5546875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5" t="s">
        <v>2</v>
      </c>
      <c r="F2" s="5" t="s">
        <v>8</v>
      </c>
      <c r="G2" s="5" t="s">
        <v>13</v>
      </c>
      <c r="H2" s="5" t="s">
        <v>5</v>
      </c>
      <c r="I2" s="5" t="s">
        <v>6</v>
      </c>
      <c r="J2" s="5" t="s">
        <v>7</v>
      </c>
      <c r="K2" s="5" t="s">
        <v>3</v>
      </c>
    </row>
    <row r="3" spans="2:11" ht="15" thickBot="1" x14ac:dyDescent="0.35">
      <c r="B3" s="6" t="s">
        <v>0</v>
      </c>
      <c r="C3" s="25">
        <v>100000</v>
      </c>
      <c r="E3" s="32"/>
      <c r="F3" s="33">
        <f>C9</f>
        <v>110000.00000000001</v>
      </c>
      <c r="G3" s="34">
        <f>C10</f>
        <v>111650</v>
      </c>
      <c r="H3" s="34">
        <f>C11</f>
        <v>113324.74999999997</v>
      </c>
      <c r="I3" s="34">
        <f>C12</f>
        <v>115024.62124999997</v>
      </c>
      <c r="J3" s="34">
        <f>C13</f>
        <v>116749.99056874996</v>
      </c>
      <c r="K3" s="35">
        <f>C14</f>
        <v>566749.36181874992</v>
      </c>
    </row>
    <row r="4" spans="2:11" x14ac:dyDescent="0.3">
      <c r="B4" s="6" t="s">
        <v>1</v>
      </c>
      <c r="C4" s="26">
        <v>0.1</v>
      </c>
      <c r="E4" s="16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35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35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3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3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3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3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3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rgb="FFFCFCFF"/>
        <color rgb="FF00B0F0"/>
      </colorScale>
    </cfRule>
  </conditionalFormatting>
  <conditionalFormatting sqref="K4:K12">
    <cfRule type="colorScale" priority="1">
      <colorScale>
        <cfvo type="min"/>
        <cfvo type="max"/>
        <color rgb="FFFCFCFF"/>
        <color rgb="FF00B0F0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911C4-AF26-4B1D-9DD2-3458A59CDEFF}">
  <dimension ref="B1:K14"/>
  <sheetViews>
    <sheetView tabSelected="1" zoomScaleNormal="100" workbookViewId="0">
      <selection activeCell="M6" sqref="M6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.5546875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5" t="s">
        <v>2</v>
      </c>
      <c r="F2" s="40" t="s">
        <v>1</v>
      </c>
      <c r="G2" s="40"/>
      <c r="H2" s="40"/>
      <c r="I2" s="40"/>
      <c r="J2" s="40"/>
      <c r="K2" s="40"/>
    </row>
    <row r="3" spans="2:11" ht="15" thickBot="1" x14ac:dyDescent="0.35">
      <c r="B3" s="6" t="s">
        <v>0</v>
      </c>
      <c r="C3" s="25">
        <v>100000</v>
      </c>
      <c r="E3" s="36">
        <f>C14</f>
        <v>566749.36181874992</v>
      </c>
      <c r="F3" s="37">
        <f>0%</f>
        <v>0</v>
      </c>
      <c r="G3" s="38">
        <v>0.05</v>
      </c>
      <c r="H3" s="38">
        <v>0.1</v>
      </c>
      <c r="I3" s="38">
        <v>0.15</v>
      </c>
      <c r="J3" s="38">
        <v>0.2</v>
      </c>
      <c r="K3" s="39">
        <v>0.25</v>
      </c>
    </row>
    <row r="4" spans="2:11" x14ac:dyDescent="0.3">
      <c r="B4" s="6" t="s">
        <v>1</v>
      </c>
      <c r="C4" s="26">
        <v>0.1</v>
      </c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35">
      <c r="B5" s="8" t="s">
        <v>2</v>
      </c>
      <c r="C5" s="27">
        <v>1.4999999999999999E-2</v>
      </c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35"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3">
      <c r="B7" s="28" t="s">
        <v>10</v>
      </c>
      <c r="C7" s="29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3">
      <c r="B8" s="14" t="s">
        <v>11</v>
      </c>
      <c r="C8" s="15" t="s">
        <v>12</v>
      </c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3">
      <c r="B9" s="9">
        <v>0</v>
      </c>
      <c r="C9" s="7">
        <f>(base*(1+raise)^B9)*(1+bonus)</f>
        <v>110000.00000000001</v>
      </c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3">
      <c r="B10" s="9">
        <v>1</v>
      </c>
      <c r="C10" s="7">
        <f>(base*(1+raise)^B10)*(1+bonus)</f>
        <v>111650</v>
      </c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3">
      <c r="B11" s="9">
        <v>2</v>
      </c>
      <c r="C11" s="7">
        <f>(base*(1+raise)^B11)*(1+bonus)</f>
        <v>113324.74999999997</v>
      </c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3">
    <mergeCell ref="B2:C2"/>
    <mergeCell ref="B7:C7"/>
    <mergeCell ref="F2:K2"/>
  </mergeCells>
  <conditionalFormatting sqref="F4:K12">
    <cfRule type="colorScale" priority="1">
      <colorScale>
        <cfvo type="min"/>
        <cfvo type="max"/>
        <color rgb="FFFCFCFF"/>
        <color theme="7" tint="0.39997558519241921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0AE1-3DCF-4D4C-A69F-2300F502F068}">
  <dimension ref="B1:K14"/>
  <sheetViews>
    <sheetView zoomScaleNormal="100" workbookViewId="0">
      <selection activeCell="K12" sqref="K12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22" t="s">
        <v>2</v>
      </c>
      <c r="F2" s="22" t="s">
        <v>8</v>
      </c>
      <c r="G2" s="22" t="s">
        <v>4</v>
      </c>
      <c r="H2" s="22" t="s">
        <v>5</v>
      </c>
      <c r="I2" s="22" t="s">
        <v>6</v>
      </c>
      <c r="J2" s="22" t="s">
        <v>7</v>
      </c>
      <c r="K2" s="22" t="s">
        <v>3</v>
      </c>
    </row>
    <row r="3" spans="2:11" ht="15" thickBot="1" x14ac:dyDescent="0.35">
      <c r="B3" s="6" t="s">
        <v>0</v>
      </c>
      <c r="C3" s="25">
        <v>100000</v>
      </c>
      <c r="E3" s="23"/>
      <c r="F3" s="12">
        <f>C9</f>
        <v>110000.00000000001</v>
      </c>
      <c r="G3" s="12">
        <f>C10</f>
        <v>111650</v>
      </c>
      <c r="H3" s="12">
        <f>C11</f>
        <v>113324.74999999997</v>
      </c>
      <c r="I3" s="12">
        <f>C12</f>
        <v>115024.62124999997</v>
      </c>
      <c r="J3" s="12">
        <f>C13</f>
        <v>116749.99056874996</v>
      </c>
      <c r="K3" s="13">
        <f>C14</f>
        <v>566749.36181874992</v>
      </c>
    </row>
    <row r="4" spans="2:11" x14ac:dyDescent="0.3">
      <c r="B4" s="6" t="s">
        <v>1</v>
      </c>
      <c r="C4" s="26">
        <v>0.1</v>
      </c>
      <c r="E4" s="17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35">
      <c r="B5" s="8" t="s">
        <v>2</v>
      </c>
      <c r="C5" s="27">
        <v>1.4999999999999999E-2</v>
      </c>
      <c r="E5" s="17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35">
      <c r="E6" s="17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3">
      <c r="B7" s="28" t="s">
        <v>10</v>
      </c>
      <c r="C7" s="29"/>
      <c r="E7" s="17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3">
      <c r="B8" s="14" t="s">
        <v>11</v>
      </c>
      <c r="C8" s="15" t="s">
        <v>12</v>
      </c>
      <c r="E8" s="17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3">
      <c r="B9" s="9">
        <v>0</v>
      </c>
      <c r="C9" s="7">
        <f>(base*(1+raise)^B9)*(1+bonus)</f>
        <v>110000.00000000001</v>
      </c>
      <c r="E9" s="17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3">
      <c r="B10" s="9">
        <v>1</v>
      </c>
      <c r="C10" s="7">
        <f>(base*(1+raise)^B10)*(1+bonus)</f>
        <v>111650</v>
      </c>
      <c r="E10" s="17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3">
      <c r="B11" s="9">
        <v>2</v>
      </c>
      <c r="C11" s="7">
        <f>(base*(1+raise)^B11)*(1+bonus)</f>
        <v>113324.74999999997</v>
      </c>
      <c r="E11" s="17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18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J12">
    <cfRule type="colorScale" priority="2">
      <colorScale>
        <cfvo type="min"/>
        <cfvo type="max"/>
        <color theme="0"/>
        <color theme="3" tint="0.749992370372631"/>
      </colorScale>
    </cfRule>
  </conditionalFormatting>
  <conditionalFormatting sqref="K4:K12">
    <cfRule type="colorScale" priority="1">
      <colorScale>
        <cfvo type="min"/>
        <cfvo type="max"/>
        <color theme="0"/>
        <color theme="3" tint="0.499984740745262"/>
      </colorScale>
    </cfRule>
    <cfRule type="colorScale" priority="3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D585-7A9D-4201-AA98-B90D36B61978}">
  <dimension ref="B1:K14"/>
  <sheetViews>
    <sheetView zoomScaleNormal="100" workbookViewId="0">
      <selection activeCell="E3" sqref="E3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8" t="s">
        <v>9</v>
      </c>
      <c r="C2" s="29"/>
      <c r="E2" s="5"/>
      <c r="F2" s="31" t="s">
        <v>1</v>
      </c>
      <c r="G2" s="31"/>
      <c r="H2" s="31"/>
      <c r="I2" s="31"/>
      <c r="J2" s="31"/>
      <c r="K2" s="31"/>
    </row>
    <row r="3" spans="2:11" ht="15" thickBot="1" x14ac:dyDescent="0.35">
      <c r="B3" s="6" t="s">
        <v>0</v>
      </c>
      <c r="C3" s="25">
        <v>100000</v>
      </c>
      <c r="D3" s="30" t="s">
        <v>2</v>
      </c>
      <c r="E3" s="11">
        <f>C14</f>
        <v>566749.36181874992</v>
      </c>
      <c r="F3" s="19">
        <v>0</v>
      </c>
      <c r="G3" s="20">
        <v>0.05</v>
      </c>
      <c r="H3" s="20">
        <v>0.1</v>
      </c>
      <c r="I3" s="20">
        <v>0.15</v>
      </c>
      <c r="J3" s="20">
        <v>0.2</v>
      </c>
      <c r="K3" s="21">
        <v>0.25</v>
      </c>
    </row>
    <row r="4" spans="2:11" x14ac:dyDescent="0.3">
      <c r="B4" s="6" t="s">
        <v>1</v>
      </c>
      <c r="C4" s="26">
        <v>0.1</v>
      </c>
      <c r="D4" s="30"/>
      <c r="E4" s="16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35">
      <c r="B5" s="8" t="s">
        <v>2</v>
      </c>
      <c r="C5" s="27">
        <v>1.4999999999999999E-2</v>
      </c>
      <c r="D5" s="30"/>
      <c r="E5" s="17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35">
      <c r="D6" s="30"/>
      <c r="E6" s="17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3">
      <c r="B7" s="28" t="s">
        <v>10</v>
      </c>
      <c r="C7" s="29"/>
      <c r="D7" s="30"/>
      <c r="E7" s="17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3">
      <c r="B8" s="14" t="s">
        <v>11</v>
      </c>
      <c r="C8" s="15" t="s">
        <v>12</v>
      </c>
      <c r="D8" s="30"/>
      <c r="E8" s="17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3">
      <c r="B9" s="9">
        <v>0</v>
      </c>
      <c r="C9" s="7">
        <f>(base*(1+raise)^B9)*(1+bonus)</f>
        <v>110000.00000000001</v>
      </c>
      <c r="D9" s="30"/>
      <c r="E9" s="17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3">
      <c r="B10" s="9">
        <v>1</v>
      </c>
      <c r="C10" s="7">
        <f>(base*(1+raise)^B10)*(1+bonus)</f>
        <v>111650</v>
      </c>
      <c r="D10" s="30"/>
      <c r="E10" s="17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3">
      <c r="B11" s="9">
        <v>2</v>
      </c>
      <c r="C11" s="7">
        <f>(base*(1+raise)^B11)*(1+bonus)</f>
        <v>113324.74999999997</v>
      </c>
      <c r="D11" s="30"/>
      <c r="E11" s="17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D12" s="30"/>
      <c r="E12" s="18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24">
        <f>SUM(C9:C13)</f>
        <v>566749.36181874992</v>
      </c>
    </row>
  </sheetData>
  <mergeCells count="4">
    <mergeCell ref="B2:C2"/>
    <mergeCell ref="B7:C7"/>
    <mergeCell ref="D3:D12"/>
    <mergeCell ref="F2:K2"/>
  </mergeCells>
  <conditionalFormatting sqref="F4:K12">
    <cfRule type="colorScale" priority="1">
      <colorScale>
        <cfvo type="min"/>
        <cfvo type="max"/>
        <color theme="0"/>
        <color theme="3" tint="0.74999237037263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16</vt:i4>
      </vt:variant>
    </vt:vector>
  </HeadingPairs>
  <TitlesOfParts>
    <vt:vector size="20" baseType="lpstr">
      <vt:lpstr>One_Input</vt:lpstr>
      <vt:lpstr>Two_Input</vt:lpstr>
      <vt:lpstr>Data_Table_One-Input</vt:lpstr>
      <vt:lpstr>Data_Table_Two-Input</vt:lpstr>
      <vt:lpstr>'Data_Table_Two-Input'!base</vt:lpstr>
      <vt:lpstr>One_Input!base</vt:lpstr>
      <vt:lpstr>Two_Input!base</vt:lpstr>
      <vt:lpstr>base</vt:lpstr>
      <vt:lpstr>'Data_Table_Two-Input'!bonus</vt:lpstr>
      <vt:lpstr>One_Input!bonus</vt:lpstr>
      <vt:lpstr>Two_Input!bonus</vt:lpstr>
      <vt:lpstr>bonus</vt:lpstr>
      <vt:lpstr>'Data_Table_Two-Input'!bonuys</vt:lpstr>
      <vt:lpstr>One_Input!bonuys</vt:lpstr>
      <vt:lpstr>Two_Input!bonuys</vt:lpstr>
      <vt:lpstr>bonuys</vt:lpstr>
      <vt:lpstr>'Data_Table_Two-Input'!raise</vt:lpstr>
      <vt:lpstr>One_Input!raise</vt:lpstr>
      <vt:lpstr>Two_Input!raise</vt:lpstr>
      <vt:lpstr>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Adam Khumaini Yussaini</cp:lastModifiedBy>
  <dcterms:created xsi:type="dcterms:W3CDTF">2024-08-08T18:34:47Z</dcterms:created>
  <dcterms:modified xsi:type="dcterms:W3CDTF">2025-11-16T06:01:00Z</dcterms:modified>
</cp:coreProperties>
</file>